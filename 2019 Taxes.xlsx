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8800" windowHeight="12435" activeTab="2"/>
  </bookViews>
  <sheets>
    <sheet name="Bank Info" sheetId="1" r:id="rId1"/>
    <sheet name="Sheet2" sheetId="3" r:id="rId2"/>
    <sheet name="2019 Tax Forms" sheetId="2" r:id="rId3"/>
  </sheets>
  <definedNames>
    <definedName name="_xlnm._FilterDatabase" localSheetId="0" hidden="1">'Bank Info'!$D$1:$D$262</definedName>
    <definedName name="_xlnm._FilterDatabase" localSheetId="1" hidden="1">Sheet2!$D$1:$D$286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3" l="1"/>
  <c r="C286" i="3"/>
  <c r="C244" i="3"/>
  <c r="C99" i="3"/>
  <c r="C35" i="3"/>
  <c r="C204" i="3" l="1"/>
  <c r="C214" i="3" s="1"/>
  <c r="F9" i="1" l="1"/>
  <c r="C260" i="1" l="1"/>
  <c r="C231" i="1"/>
  <c r="C202" i="1"/>
  <c r="C96" i="1"/>
  <c r="C32" i="1"/>
</calcChain>
</file>

<file path=xl/sharedStrings.xml><?xml version="1.0" encoding="utf-8"?>
<sst xmlns="http://schemas.openxmlformats.org/spreadsheetml/2006/main" count="1071" uniqueCount="108">
  <si>
    <t>DATE</t>
  </si>
  <si>
    <t>LOCATION</t>
  </si>
  <si>
    <t>AMOUNT</t>
  </si>
  <si>
    <t>Cracker Barrell</t>
  </si>
  <si>
    <t>Cook's Pest Control</t>
  </si>
  <si>
    <t>Stanfields</t>
  </si>
  <si>
    <t>Synchrony</t>
  </si>
  <si>
    <t>Florence UTIL.</t>
  </si>
  <si>
    <t>Best Buy</t>
  </si>
  <si>
    <t>AT&amp;T</t>
  </si>
  <si>
    <t>Shoals ENT</t>
  </si>
  <si>
    <t>Net Nanny</t>
  </si>
  <si>
    <t>Widemans</t>
  </si>
  <si>
    <t>Lowes</t>
  </si>
  <si>
    <t>Tims Pharmacy</t>
  </si>
  <si>
    <t>Servi Solutions</t>
  </si>
  <si>
    <t>CVS</t>
  </si>
  <si>
    <t>Florence Utilities</t>
  </si>
  <si>
    <t>TST Health</t>
  </si>
  <si>
    <t>Cooks Pest</t>
  </si>
  <si>
    <t>Office Depot</t>
  </si>
  <si>
    <t>Cracker Barrel</t>
  </si>
  <si>
    <t>ECM</t>
  </si>
  <si>
    <t>WalGreens</t>
  </si>
  <si>
    <t xml:space="preserve">IBH </t>
  </si>
  <si>
    <t>Lung Center</t>
  </si>
  <si>
    <t>TSF Healthcare</t>
  </si>
  <si>
    <t>Cloverdale UMC</t>
  </si>
  <si>
    <t>St. James UMC</t>
  </si>
  <si>
    <t>St.  James UMC</t>
  </si>
  <si>
    <t xml:space="preserve">Verizon </t>
  </si>
  <si>
    <t>IBH</t>
  </si>
  <si>
    <t>Dr. Mitchell</t>
  </si>
  <si>
    <t>Schofields</t>
  </si>
  <si>
    <t>Singing River Dentist</t>
  </si>
  <si>
    <t>Walgreens</t>
  </si>
  <si>
    <t>Shoals Plastic Surgery</t>
  </si>
  <si>
    <t>Comenity</t>
  </si>
  <si>
    <t>Law Enforcement</t>
  </si>
  <si>
    <t>1st Choice Chiro.</t>
  </si>
  <si>
    <t>Tims Drugs</t>
  </si>
  <si>
    <t>Lifeway</t>
  </si>
  <si>
    <t>Urgent Care</t>
  </si>
  <si>
    <t>Home Depot</t>
  </si>
  <si>
    <t>Oscar Butler Fund</t>
  </si>
  <si>
    <t>Saint Builders</t>
  </si>
  <si>
    <t>AL Dept. of Revenue</t>
  </si>
  <si>
    <t>Tim's Discount Pharm</t>
  </si>
  <si>
    <t>First Choice</t>
  </si>
  <si>
    <t>Brand Source</t>
  </si>
  <si>
    <t>Verizon</t>
  </si>
  <si>
    <t>Comcast</t>
  </si>
  <si>
    <t>Shady Grove</t>
  </si>
  <si>
    <t>Cheddars</t>
  </si>
  <si>
    <t>Kirklin Clinic</t>
  </si>
  <si>
    <t>Schofield</t>
  </si>
  <si>
    <t>SRD</t>
  </si>
  <si>
    <t>NW Al Cancer Center</t>
  </si>
  <si>
    <t>Parkway Community Church</t>
  </si>
  <si>
    <t>St. Luke UMC</t>
  </si>
  <si>
    <t>Aaron Mathis</t>
  </si>
  <si>
    <t>Jagris</t>
  </si>
  <si>
    <t>Mattress King</t>
  </si>
  <si>
    <t>Big Lot's</t>
  </si>
  <si>
    <t>Heart Health</t>
  </si>
  <si>
    <t>Golden Corral</t>
  </si>
  <si>
    <t>Blythe Memorial</t>
  </si>
  <si>
    <t>Shoals Radiology</t>
  </si>
  <si>
    <t>TN River Dermatology</t>
  </si>
  <si>
    <t>Circle of Hope</t>
  </si>
  <si>
    <t>CATEGORY</t>
  </si>
  <si>
    <t>Ministry</t>
  </si>
  <si>
    <t>Housing</t>
  </si>
  <si>
    <t>Medical</t>
  </si>
  <si>
    <t>Utilities</t>
  </si>
  <si>
    <t>Doc Socks</t>
  </si>
  <si>
    <t>Contribution</t>
  </si>
  <si>
    <t>Taxes</t>
  </si>
  <si>
    <t xml:space="preserve">Medical </t>
  </si>
  <si>
    <t>Tag Taxes</t>
  </si>
  <si>
    <t>Contributions</t>
  </si>
  <si>
    <t>Annual Tax and Interest Statement</t>
  </si>
  <si>
    <t>Interest</t>
  </si>
  <si>
    <t>UMC Benefit Board Inc</t>
  </si>
  <si>
    <t xml:space="preserve">Fed Taxes paid </t>
  </si>
  <si>
    <t>Property tax paid</t>
  </si>
  <si>
    <t>Lauderdale County Board of Ed</t>
  </si>
  <si>
    <t>Income for Steve</t>
  </si>
  <si>
    <t xml:space="preserve">Wages </t>
  </si>
  <si>
    <t>SS W/H</t>
  </si>
  <si>
    <t>Medicare W/H</t>
  </si>
  <si>
    <t>8/9/19  cc</t>
  </si>
  <si>
    <t>7/21/19  cc</t>
  </si>
  <si>
    <t>8/8/19  cc</t>
  </si>
  <si>
    <t>JC Penney</t>
  </si>
  <si>
    <t>Fed W/H</t>
  </si>
  <si>
    <t>Soc Sec W/H</t>
  </si>
  <si>
    <t>Med W/H</t>
  </si>
  <si>
    <t>State W/H</t>
  </si>
  <si>
    <t>cracker Barrel</t>
  </si>
  <si>
    <t>NW Alabama Council of Local Government</t>
  </si>
  <si>
    <t>Wages</t>
  </si>
  <si>
    <t>SS Wages</t>
  </si>
  <si>
    <t>Income for Pam</t>
  </si>
  <si>
    <t xml:space="preserve">Med W/H </t>
  </si>
  <si>
    <t>State</t>
  </si>
  <si>
    <t>EXPENSES</t>
  </si>
  <si>
    <t>Taxes paid last year to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</si>
</sst>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14" fontId="0" fillId="0" borderId="0" xfId="0" applyNumberFormat="1" applyAlignment="1">
      <alignment horizontal="left"/>
    </xf>
    <xf numFmtId="44" fontId="2" fillId="0" borderId="0" xfId="1" applyFont="1"/>
    <xf numFmtId="44" fontId="0" fillId="0" borderId="1" xfId="1" applyFont="1" applyBorder="1"/>
    <xf numFmtId="44" fontId="0" fillId="0" borderId="0" xfId="1" applyFont="1" applyBorder="1"/>
    <xf numFmtId="44" fontId="1" fillId="0" borderId="0" xfId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zoomScale="148" zoomScaleNormal="148" workbookViewId="0">
      <selection activeCell="B71" sqref="B1:B1048576"/>
    </sheetView>
  </sheetViews>
  <sheetFormatPr defaultRowHeight="15" x14ac:dyDescent="0.25"/>
  <cols>
    <col min="1" max="1" width="15.140625" style="2" customWidth="1"/>
    <col min="2" max="2" width="26.28515625" bestFit="1" customWidth="1"/>
    <col min="3" max="3" width="13.28515625" style="1" customWidth="1"/>
    <col min="4" max="4" width="17.5703125" customWidth="1"/>
    <col min="5" max="5" width="11.5703125" bestFit="1" customWidth="1"/>
    <col min="6" max="6" width="11.5703125" style="1" bestFit="1" customWidth="1"/>
    <col min="7" max="7" width="14.42578125" customWidth="1"/>
    <col min="8" max="8" width="11.5703125" bestFit="1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70</v>
      </c>
    </row>
    <row r="2" spans="1:7" x14ac:dyDescent="0.25">
      <c r="A2" s="2">
        <v>43492</v>
      </c>
      <c r="B2" t="s">
        <v>27</v>
      </c>
      <c r="C2" s="1">
        <v>25</v>
      </c>
      <c r="D2" t="s">
        <v>76</v>
      </c>
    </row>
    <row r="3" spans="1:7" x14ac:dyDescent="0.25">
      <c r="A3" s="2">
        <v>43495</v>
      </c>
      <c r="B3" t="s">
        <v>28</v>
      </c>
      <c r="C3" s="1">
        <v>12</v>
      </c>
      <c r="D3" t="s">
        <v>76</v>
      </c>
      <c r="E3" t="s">
        <v>76</v>
      </c>
      <c r="F3" s="1">
        <v>972</v>
      </c>
    </row>
    <row r="4" spans="1:7" x14ac:dyDescent="0.25">
      <c r="A4" s="2">
        <v>43499</v>
      </c>
      <c r="B4" t="s">
        <v>28</v>
      </c>
      <c r="C4" s="1">
        <v>50</v>
      </c>
      <c r="D4" t="s">
        <v>76</v>
      </c>
      <c r="E4" t="s">
        <v>72</v>
      </c>
      <c r="F4" s="1">
        <v>11800.16</v>
      </c>
    </row>
    <row r="5" spans="1:7" x14ac:dyDescent="0.25">
      <c r="A5" s="2">
        <v>43506</v>
      </c>
      <c r="B5" t="s">
        <v>28</v>
      </c>
      <c r="C5" s="1">
        <v>100</v>
      </c>
      <c r="D5" t="s">
        <v>76</v>
      </c>
      <c r="E5" t="s">
        <v>74</v>
      </c>
      <c r="F5" s="1">
        <v>3846.13</v>
      </c>
      <c r="G5" s="1"/>
    </row>
    <row r="6" spans="1:7" x14ac:dyDescent="0.25">
      <c r="A6" s="2">
        <v>43516</v>
      </c>
      <c r="B6" t="s">
        <v>29</v>
      </c>
      <c r="C6" s="1">
        <v>12</v>
      </c>
      <c r="D6" t="s">
        <v>76</v>
      </c>
      <c r="E6" t="s">
        <v>78</v>
      </c>
      <c r="F6" s="1">
        <v>4738.18</v>
      </c>
    </row>
    <row r="7" spans="1:7" x14ac:dyDescent="0.25">
      <c r="A7" s="2">
        <v>43520</v>
      </c>
      <c r="B7" t="s">
        <v>28</v>
      </c>
      <c r="C7" s="1">
        <v>100</v>
      </c>
      <c r="D7" t="s">
        <v>76</v>
      </c>
      <c r="E7" t="s">
        <v>71</v>
      </c>
      <c r="F7" s="1">
        <v>719.38</v>
      </c>
    </row>
    <row r="8" spans="1:7" x14ac:dyDescent="0.25">
      <c r="A8" s="2">
        <v>43544</v>
      </c>
      <c r="B8" t="s">
        <v>28</v>
      </c>
      <c r="C8" s="1">
        <v>12</v>
      </c>
      <c r="D8" t="s">
        <v>76</v>
      </c>
      <c r="E8" t="s">
        <v>77</v>
      </c>
      <c r="F8" s="4">
        <v>387</v>
      </c>
    </row>
    <row r="9" spans="1:7" x14ac:dyDescent="0.25">
      <c r="A9" s="2">
        <v>43545</v>
      </c>
      <c r="B9" t="s">
        <v>44</v>
      </c>
      <c r="C9" s="1">
        <v>15</v>
      </c>
      <c r="D9" t="s">
        <v>76</v>
      </c>
      <c r="F9" s="1">
        <f>SUM(F3:F8)</f>
        <v>22462.850000000002</v>
      </c>
    </row>
    <row r="10" spans="1:7" x14ac:dyDescent="0.25">
      <c r="A10" s="2">
        <v>43552</v>
      </c>
      <c r="B10" t="s">
        <v>38</v>
      </c>
      <c r="C10" s="1">
        <v>15</v>
      </c>
      <c r="D10" t="s">
        <v>76</v>
      </c>
    </row>
    <row r="11" spans="1:7" x14ac:dyDescent="0.25">
      <c r="A11" s="2">
        <v>43562</v>
      </c>
      <c r="B11" t="s">
        <v>28</v>
      </c>
      <c r="C11" s="1">
        <v>25</v>
      </c>
      <c r="D11" t="s">
        <v>76</v>
      </c>
    </row>
    <row r="12" spans="1:7" x14ac:dyDescent="0.25">
      <c r="A12" s="2">
        <v>43565</v>
      </c>
      <c r="B12" t="s">
        <v>28</v>
      </c>
      <c r="C12" s="1">
        <v>18</v>
      </c>
      <c r="D12" t="s">
        <v>76</v>
      </c>
    </row>
    <row r="13" spans="1:7" x14ac:dyDescent="0.25">
      <c r="A13" s="2">
        <v>43583</v>
      </c>
      <c r="B13" t="s">
        <v>28</v>
      </c>
      <c r="C13" s="1">
        <v>100</v>
      </c>
      <c r="D13" t="s">
        <v>76</v>
      </c>
    </row>
    <row r="14" spans="1:7" x14ac:dyDescent="0.25">
      <c r="A14" s="2">
        <v>43586</v>
      </c>
      <c r="B14" t="s">
        <v>28</v>
      </c>
      <c r="C14" s="1">
        <v>12</v>
      </c>
      <c r="D14" t="s">
        <v>76</v>
      </c>
    </row>
    <row r="15" spans="1:7" x14ac:dyDescent="0.25">
      <c r="A15" s="2">
        <v>43586</v>
      </c>
      <c r="B15" t="s">
        <v>28</v>
      </c>
      <c r="C15" s="1">
        <v>12</v>
      </c>
      <c r="D15" t="s">
        <v>76</v>
      </c>
    </row>
    <row r="16" spans="1:7" x14ac:dyDescent="0.25">
      <c r="A16" s="2">
        <v>43604</v>
      </c>
      <c r="B16" t="s">
        <v>28</v>
      </c>
      <c r="C16" s="1">
        <v>50</v>
      </c>
      <c r="D16" t="s">
        <v>76</v>
      </c>
    </row>
    <row r="17" spans="1:4" x14ac:dyDescent="0.25">
      <c r="A17" s="2">
        <v>43611</v>
      </c>
      <c r="B17" t="s">
        <v>52</v>
      </c>
      <c r="C17" s="1">
        <v>25</v>
      </c>
      <c r="D17" t="s">
        <v>76</v>
      </c>
    </row>
    <row r="18" spans="1:4" x14ac:dyDescent="0.25">
      <c r="A18" s="2">
        <v>43618</v>
      </c>
      <c r="B18" t="s">
        <v>28</v>
      </c>
      <c r="C18" s="1">
        <v>25</v>
      </c>
      <c r="D18" t="s">
        <v>76</v>
      </c>
    </row>
    <row r="19" spans="1:4" x14ac:dyDescent="0.25">
      <c r="A19" s="2">
        <v>43639</v>
      </c>
      <c r="B19" t="s">
        <v>28</v>
      </c>
      <c r="C19" s="1">
        <v>25</v>
      </c>
      <c r="D19" t="s">
        <v>76</v>
      </c>
    </row>
    <row r="20" spans="1:4" x14ac:dyDescent="0.25">
      <c r="A20" s="2">
        <v>43653</v>
      </c>
      <c r="B20" t="s">
        <v>58</v>
      </c>
      <c r="C20" s="1">
        <v>25</v>
      </c>
      <c r="D20" t="s">
        <v>76</v>
      </c>
    </row>
    <row r="21" spans="1:4" x14ac:dyDescent="0.25">
      <c r="A21" s="2">
        <v>43660</v>
      </c>
      <c r="B21" t="s">
        <v>59</v>
      </c>
      <c r="C21" s="1">
        <v>25</v>
      </c>
      <c r="D21" t="s">
        <v>76</v>
      </c>
    </row>
    <row r="22" spans="1:4" x14ac:dyDescent="0.25">
      <c r="A22" s="2">
        <v>43674</v>
      </c>
      <c r="B22" t="s">
        <v>58</v>
      </c>
      <c r="C22" s="1">
        <v>25</v>
      </c>
      <c r="D22" t="s">
        <v>76</v>
      </c>
    </row>
    <row r="23" spans="1:4" x14ac:dyDescent="0.25">
      <c r="A23" s="2">
        <v>43688</v>
      </c>
      <c r="B23" t="s">
        <v>28</v>
      </c>
      <c r="C23" s="1">
        <v>25</v>
      </c>
      <c r="D23" t="s">
        <v>76</v>
      </c>
    </row>
    <row r="24" spans="1:4" x14ac:dyDescent="0.25">
      <c r="A24" s="2">
        <v>43723</v>
      </c>
      <c r="B24" t="s">
        <v>28</v>
      </c>
      <c r="C24" s="1">
        <v>50</v>
      </c>
      <c r="D24" t="s">
        <v>76</v>
      </c>
    </row>
    <row r="25" spans="1:4" x14ac:dyDescent="0.25">
      <c r="A25" s="2">
        <v>43730</v>
      </c>
      <c r="B25" t="s">
        <v>28</v>
      </c>
      <c r="C25" s="1">
        <v>25</v>
      </c>
      <c r="D25" t="s">
        <v>76</v>
      </c>
    </row>
    <row r="26" spans="1:4" x14ac:dyDescent="0.25">
      <c r="A26" s="2">
        <v>43737</v>
      </c>
      <c r="B26" t="s">
        <v>28</v>
      </c>
      <c r="C26" s="1">
        <v>25</v>
      </c>
      <c r="D26" t="s">
        <v>76</v>
      </c>
    </row>
    <row r="27" spans="1:4" x14ac:dyDescent="0.25">
      <c r="A27" s="2">
        <v>43744</v>
      </c>
      <c r="B27" t="s">
        <v>52</v>
      </c>
      <c r="C27" s="1">
        <v>25</v>
      </c>
      <c r="D27" t="s">
        <v>76</v>
      </c>
    </row>
    <row r="28" spans="1:4" x14ac:dyDescent="0.25">
      <c r="A28" s="2">
        <v>43751</v>
      </c>
      <c r="B28" t="s">
        <v>66</v>
      </c>
      <c r="C28" s="1">
        <v>25</v>
      </c>
      <c r="D28" t="s">
        <v>76</v>
      </c>
    </row>
    <row r="29" spans="1:4" x14ac:dyDescent="0.25">
      <c r="A29" s="2">
        <v>43765</v>
      </c>
      <c r="B29" t="s">
        <v>28</v>
      </c>
      <c r="C29" s="1">
        <v>50</v>
      </c>
      <c r="D29" t="s">
        <v>76</v>
      </c>
    </row>
    <row r="30" spans="1:4" x14ac:dyDescent="0.25">
      <c r="A30" s="2">
        <v>43793</v>
      </c>
      <c r="B30" t="s">
        <v>28</v>
      </c>
      <c r="C30" s="1">
        <v>25</v>
      </c>
      <c r="D30" t="s">
        <v>76</v>
      </c>
    </row>
    <row r="31" spans="1:4" x14ac:dyDescent="0.25">
      <c r="A31" s="2">
        <v>43793</v>
      </c>
      <c r="B31" t="s">
        <v>69</v>
      </c>
      <c r="C31" s="1">
        <v>14</v>
      </c>
      <c r="D31" t="s">
        <v>76</v>
      </c>
    </row>
    <row r="32" spans="1:4" x14ac:dyDescent="0.25">
      <c r="C32" s="3">
        <f>SUM(C2:C31)</f>
        <v>972</v>
      </c>
    </row>
    <row r="36" spans="1:8" x14ac:dyDescent="0.25">
      <c r="A36" s="2">
        <v>43472</v>
      </c>
      <c r="B36" t="s">
        <v>4</v>
      </c>
      <c r="C36" s="1">
        <v>26.84</v>
      </c>
      <c r="D36" t="s">
        <v>72</v>
      </c>
    </row>
    <row r="37" spans="1:8" x14ac:dyDescent="0.25">
      <c r="A37" s="2">
        <v>43475</v>
      </c>
      <c r="B37" t="s">
        <v>7</v>
      </c>
      <c r="C37" s="1">
        <v>320.45999999999998</v>
      </c>
      <c r="D37" t="s">
        <v>72</v>
      </c>
    </row>
    <row r="38" spans="1:8" x14ac:dyDescent="0.25">
      <c r="A38" s="2">
        <v>43487</v>
      </c>
      <c r="B38" t="s">
        <v>13</v>
      </c>
      <c r="C38" s="1">
        <v>7.42</v>
      </c>
      <c r="D38" t="s">
        <v>72</v>
      </c>
    </row>
    <row r="39" spans="1:8" x14ac:dyDescent="0.25">
      <c r="A39" s="2">
        <v>43489</v>
      </c>
      <c r="B39" t="s">
        <v>17</v>
      </c>
      <c r="C39" s="1">
        <v>605</v>
      </c>
      <c r="D39" t="s">
        <v>72</v>
      </c>
    </row>
    <row r="40" spans="1:8" x14ac:dyDescent="0.25">
      <c r="A40" s="2">
        <v>43490</v>
      </c>
      <c r="B40" t="s">
        <v>15</v>
      </c>
      <c r="C40" s="1">
        <v>628.71</v>
      </c>
      <c r="D40" t="s">
        <v>72</v>
      </c>
    </row>
    <row r="41" spans="1:8" x14ac:dyDescent="0.25">
      <c r="A41" s="2">
        <v>43500</v>
      </c>
      <c r="B41" t="s">
        <v>15</v>
      </c>
      <c r="C41" s="1">
        <v>30.12</v>
      </c>
      <c r="D41" t="s">
        <v>72</v>
      </c>
    </row>
    <row r="42" spans="1:8" x14ac:dyDescent="0.25">
      <c r="A42" s="2">
        <v>43502</v>
      </c>
      <c r="B42" t="s">
        <v>19</v>
      </c>
      <c r="C42" s="1">
        <v>26.84</v>
      </c>
      <c r="D42" t="s">
        <v>72</v>
      </c>
    </row>
    <row r="43" spans="1:8" x14ac:dyDescent="0.25">
      <c r="A43" s="2">
        <v>43508</v>
      </c>
      <c r="B43" t="s">
        <v>17</v>
      </c>
      <c r="C43" s="1">
        <v>279.31</v>
      </c>
      <c r="D43" t="s">
        <v>72</v>
      </c>
    </row>
    <row r="44" spans="1:8" x14ac:dyDescent="0.25">
      <c r="A44" s="2">
        <v>43528</v>
      </c>
      <c r="B44" t="s">
        <v>15</v>
      </c>
      <c r="C44" s="1">
        <v>30.12</v>
      </c>
      <c r="D44" t="s">
        <v>72</v>
      </c>
    </row>
    <row r="45" spans="1:8" x14ac:dyDescent="0.25">
      <c r="A45" s="2">
        <v>43530</v>
      </c>
      <c r="B45" t="s">
        <v>19</v>
      </c>
      <c r="C45" s="1">
        <v>26.84</v>
      </c>
      <c r="D45" t="s">
        <v>72</v>
      </c>
    </row>
    <row r="46" spans="1:8" x14ac:dyDescent="0.25">
      <c r="A46" s="2">
        <v>43549</v>
      </c>
      <c r="B46" t="s">
        <v>15</v>
      </c>
      <c r="C46" s="1">
        <v>628.66</v>
      </c>
      <c r="D46" t="s">
        <v>72</v>
      </c>
      <c r="H46" s="1"/>
    </row>
    <row r="47" spans="1:8" x14ac:dyDescent="0.25">
      <c r="A47" s="2">
        <v>43557</v>
      </c>
      <c r="B47" t="s">
        <v>15</v>
      </c>
      <c r="C47" s="1">
        <v>30.12</v>
      </c>
      <c r="D47" t="s">
        <v>72</v>
      </c>
    </row>
    <row r="48" spans="1:8" x14ac:dyDescent="0.25">
      <c r="A48" s="2">
        <v>43559</v>
      </c>
      <c r="B48" t="s">
        <v>19</v>
      </c>
      <c r="C48" s="1">
        <v>26.84</v>
      </c>
      <c r="D48" t="s">
        <v>72</v>
      </c>
    </row>
    <row r="49" spans="1:4" x14ac:dyDescent="0.25">
      <c r="A49" s="2">
        <v>43574</v>
      </c>
      <c r="B49" t="s">
        <v>45</v>
      </c>
      <c r="C49" s="1">
        <v>1200</v>
      </c>
      <c r="D49" t="s">
        <v>72</v>
      </c>
    </row>
    <row r="50" spans="1:4" x14ac:dyDescent="0.25">
      <c r="A50" s="2">
        <v>43581</v>
      </c>
      <c r="B50" t="s">
        <v>15</v>
      </c>
      <c r="C50" s="1">
        <v>628.66</v>
      </c>
      <c r="D50" t="s">
        <v>72</v>
      </c>
    </row>
    <row r="51" spans="1:4" x14ac:dyDescent="0.25">
      <c r="A51" s="2">
        <v>43585</v>
      </c>
      <c r="B51" t="s">
        <v>13</v>
      </c>
      <c r="C51" s="1">
        <v>61.25</v>
      </c>
      <c r="D51" t="s">
        <v>72</v>
      </c>
    </row>
    <row r="52" spans="1:4" x14ac:dyDescent="0.25">
      <c r="A52" s="2">
        <v>43587</v>
      </c>
      <c r="B52" t="s">
        <v>15</v>
      </c>
      <c r="C52" s="1">
        <v>30.12</v>
      </c>
      <c r="D52" t="s">
        <v>72</v>
      </c>
    </row>
    <row r="53" spans="1:4" x14ac:dyDescent="0.25">
      <c r="A53" s="2">
        <v>43587</v>
      </c>
      <c r="B53" t="s">
        <v>13</v>
      </c>
      <c r="C53" s="1">
        <v>36.049999999999997</v>
      </c>
      <c r="D53" t="s">
        <v>72</v>
      </c>
    </row>
    <row r="54" spans="1:4" x14ac:dyDescent="0.25">
      <c r="A54" s="2">
        <v>43588</v>
      </c>
      <c r="B54" t="s">
        <v>43</v>
      </c>
      <c r="C54" s="1">
        <v>150</v>
      </c>
      <c r="D54" t="s">
        <v>72</v>
      </c>
    </row>
    <row r="55" spans="1:4" x14ac:dyDescent="0.25">
      <c r="A55" s="2">
        <v>43588</v>
      </c>
      <c r="B55" t="s">
        <v>19</v>
      </c>
      <c r="C55" s="1">
        <v>26.84</v>
      </c>
      <c r="D55" t="s">
        <v>72</v>
      </c>
    </row>
    <row r="56" spans="1:4" x14ac:dyDescent="0.25">
      <c r="A56" s="2">
        <v>43592</v>
      </c>
      <c r="B56" t="s">
        <v>13</v>
      </c>
      <c r="C56" s="1">
        <v>25.76</v>
      </c>
      <c r="D56" t="s">
        <v>72</v>
      </c>
    </row>
    <row r="57" spans="1:4" x14ac:dyDescent="0.25">
      <c r="A57" s="2">
        <v>43607</v>
      </c>
      <c r="B57" t="s">
        <v>49</v>
      </c>
      <c r="C57" s="1">
        <v>100</v>
      </c>
      <c r="D57" t="s">
        <v>72</v>
      </c>
    </row>
    <row r="58" spans="1:4" x14ac:dyDescent="0.25">
      <c r="A58" s="2">
        <v>43608</v>
      </c>
      <c r="B58" t="s">
        <v>15</v>
      </c>
      <c r="C58" s="1">
        <v>628.66</v>
      </c>
      <c r="D58" t="s">
        <v>72</v>
      </c>
    </row>
    <row r="59" spans="1:4" x14ac:dyDescent="0.25">
      <c r="A59" s="2">
        <v>43620</v>
      </c>
      <c r="B59" t="s">
        <v>15</v>
      </c>
      <c r="C59" s="1">
        <v>30.12</v>
      </c>
      <c r="D59" t="s">
        <v>72</v>
      </c>
    </row>
    <row r="60" spans="1:4" x14ac:dyDescent="0.25">
      <c r="A60" s="2">
        <v>43622</v>
      </c>
      <c r="B60" t="s">
        <v>19</v>
      </c>
      <c r="C60" s="1">
        <v>26.84</v>
      </c>
      <c r="D60" t="s">
        <v>72</v>
      </c>
    </row>
    <row r="61" spans="1:4" x14ac:dyDescent="0.25">
      <c r="A61" s="2">
        <v>43630</v>
      </c>
      <c r="B61" t="s">
        <v>13</v>
      </c>
      <c r="C61" s="1">
        <v>176.09</v>
      </c>
      <c r="D61" t="s">
        <v>72</v>
      </c>
    </row>
    <row r="62" spans="1:4" x14ac:dyDescent="0.25">
      <c r="A62" s="2">
        <v>43633</v>
      </c>
      <c r="B62" t="s">
        <v>15</v>
      </c>
      <c r="C62" s="1">
        <v>605.28</v>
      </c>
      <c r="D62" t="s">
        <v>72</v>
      </c>
    </row>
    <row r="63" spans="1:4" x14ac:dyDescent="0.25">
      <c r="A63" s="2">
        <v>43642</v>
      </c>
      <c r="B63" t="s">
        <v>49</v>
      </c>
      <c r="C63" s="1">
        <v>75</v>
      </c>
      <c r="D63" t="s">
        <v>72</v>
      </c>
    </row>
    <row r="64" spans="1:4" x14ac:dyDescent="0.25">
      <c r="A64" s="2">
        <v>43648</v>
      </c>
      <c r="B64" t="s">
        <v>15</v>
      </c>
      <c r="C64" s="1">
        <v>30.12</v>
      </c>
      <c r="D64" t="s">
        <v>72</v>
      </c>
    </row>
    <row r="65" spans="1:8" x14ac:dyDescent="0.25">
      <c r="A65" s="2">
        <v>43654</v>
      </c>
      <c r="B65" t="s">
        <v>19</v>
      </c>
      <c r="C65" s="1">
        <v>26.84</v>
      </c>
      <c r="D65" t="s">
        <v>72</v>
      </c>
    </row>
    <row r="66" spans="1:8" x14ac:dyDescent="0.25">
      <c r="A66" s="2">
        <v>43664</v>
      </c>
      <c r="B66" t="s">
        <v>15</v>
      </c>
      <c r="C66" s="1">
        <v>605.28</v>
      </c>
      <c r="D66" t="s">
        <v>72</v>
      </c>
    </row>
    <row r="67" spans="1:8" x14ac:dyDescent="0.25">
      <c r="A67" s="2">
        <v>43669</v>
      </c>
      <c r="B67" t="s">
        <v>13</v>
      </c>
      <c r="C67" s="1">
        <v>7.21</v>
      </c>
      <c r="D67" t="s">
        <v>72</v>
      </c>
    </row>
    <row r="68" spans="1:8" x14ac:dyDescent="0.25">
      <c r="A68" s="2">
        <v>43676</v>
      </c>
      <c r="B68" t="s">
        <v>49</v>
      </c>
      <c r="C68" s="1">
        <v>74</v>
      </c>
      <c r="D68" t="s">
        <v>72</v>
      </c>
    </row>
    <row r="69" spans="1:8" x14ac:dyDescent="0.25">
      <c r="A69" s="2">
        <v>43679</v>
      </c>
      <c r="B69" t="s">
        <v>15</v>
      </c>
      <c r="C69" s="1">
        <v>30.12</v>
      </c>
      <c r="D69" t="s">
        <v>72</v>
      </c>
    </row>
    <row r="70" spans="1:8" x14ac:dyDescent="0.25">
      <c r="A70" s="2">
        <v>43665</v>
      </c>
      <c r="B70" t="s">
        <v>60</v>
      </c>
      <c r="C70" s="1">
        <v>150</v>
      </c>
      <c r="D70" t="s">
        <v>72</v>
      </c>
    </row>
    <row r="71" spans="1:8" x14ac:dyDescent="0.25">
      <c r="A71" s="2">
        <v>43666</v>
      </c>
      <c r="B71" t="s">
        <v>61</v>
      </c>
      <c r="C71" s="1">
        <v>500</v>
      </c>
      <c r="D71" t="s">
        <v>72</v>
      </c>
    </row>
    <row r="72" spans="1:8" x14ac:dyDescent="0.25">
      <c r="A72" s="2">
        <v>43668</v>
      </c>
      <c r="B72" t="s">
        <v>60</v>
      </c>
      <c r="C72" s="1">
        <v>150</v>
      </c>
      <c r="D72" t="s">
        <v>72</v>
      </c>
    </row>
    <row r="73" spans="1:8" x14ac:dyDescent="0.25">
      <c r="A73" s="2">
        <v>43683</v>
      </c>
      <c r="B73" t="s">
        <v>19</v>
      </c>
      <c r="C73" s="1">
        <v>26.84</v>
      </c>
      <c r="D73" t="s">
        <v>72</v>
      </c>
      <c r="H73" s="1"/>
    </row>
    <row r="74" spans="1:8" x14ac:dyDescent="0.25">
      <c r="A74" s="2">
        <v>43689</v>
      </c>
      <c r="B74" t="s">
        <v>62</v>
      </c>
      <c r="C74" s="1">
        <v>410.37</v>
      </c>
      <c r="D74" t="s">
        <v>72</v>
      </c>
    </row>
    <row r="75" spans="1:8" x14ac:dyDescent="0.25">
      <c r="A75" s="2">
        <v>43696</v>
      </c>
      <c r="B75" t="s">
        <v>15</v>
      </c>
      <c r="C75" s="1">
        <v>605.28</v>
      </c>
      <c r="D75" t="s">
        <v>72</v>
      </c>
    </row>
    <row r="76" spans="1:8" x14ac:dyDescent="0.25">
      <c r="A76" s="2">
        <v>43712</v>
      </c>
      <c r="B76" t="s">
        <v>15</v>
      </c>
      <c r="C76" s="1">
        <v>30.12</v>
      </c>
      <c r="D76" t="s">
        <v>72</v>
      </c>
    </row>
    <row r="77" spans="1:8" x14ac:dyDescent="0.25">
      <c r="A77" s="2">
        <v>43711</v>
      </c>
      <c r="B77" t="s">
        <v>19</v>
      </c>
      <c r="C77" s="1">
        <v>26.84</v>
      </c>
      <c r="D77" t="s">
        <v>72</v>
      </c>
    </row>
    <row r="78" spans="1:8" x14ac:dyDescent="0.25">
      <c r="A78" s="2">
        <v>43720</v>
      </c>
      <c r="B78" t="s">
        <v>13</v>
      </c>
      <c r="C78" s="1">
        <v>26.98</v>
      </c>
      <c r="D78" t="s">
        <v>72</v>
      </c>
    </row>
    <row r="79" spans="1:8" x14ac:dyDescent="0.25">
      <c r="A79" s="2">
        <v>43721</v>
      </c>
      <c r="B79" t="s">
        <v>49</v>
      </c>
      <c r="C79" s="1">
        <v>50</v>
      </c>
      <c r="D79" t="s">
        <v>72</v>
      </c>
    </row>
    <row r="80" spans="1:8" x14ac:dyDescent="0.25">
      <c r="A80" s="2">
        <v>43721</v>
      </c>
      <c r="B80" t="s">
        <v>63</v>
      </c>
      <c r="C80" s="1">
        <v>36.65</v>
      </c>
      <c r="D80" t="s">
        <v>72</v>
      </c>
    </row>
    <row r="81" spans="1:4" x14ac:dyDescent="0.25">
      <c r="A81" s="2">
        <v>43724</v>
      </c>
      <c r="B81" t="s">
        <v>15</v>
      </c>
      <c r="C81" s="1">
        <v>605.28</v>
      </c>
      <c r="D81" t="s">
        <v>72</v>
      </c>
    </row>
    <row r="82" spans="1:4" x14ac:dyDescent="0.25">
      <c r="A82" s="2">
        <v>43733</v>
      </c>
      <c r="B82" t="s">
        <v>49</v>
      </c>
      <c r="C82" s="1">
        <v>28</v>
      </c>
      <c r="D82" t="s">
        <v>72</v>
      </c>
    </row>
    <row r="83" spans="1:4" x14ac:dyDescent="0.25">
      <c r="A83" s="2">
        <v>43740</v>
      </c>
      <c r="B83" t="s">
        <v>15</v>
      </c>
      <c r="C83" s="1">
        <v>30.12</v>
      </c>
      <c r="D83" t="s">
        <v>72</v>
      </c>
    </row>
    <row r="84" spans="1:4" x14ac:dyDescent="0.25">
      <c r="A84" s="2">
        <v>43741</v>
      </c>
      <c r="B84" t="s">
        <v>13</v>
      </c>
      <c r="C84" s="1">
        <v>54.74</v>
      </c>
      <c r="D84" t="s">
        <v>72</v>
      </c>
    </row>
    <row r="85" spans="1:4" x14ac:dyDescent="0.25">
      <c r="A85" s="2">
        <v>43742</v>
      </c>
      <c r="B85" t="s">
        <v>19</v>
      </c>
      <c r="C85" s="1">
        <v>26.84</v>
      </c>
      <c r="D85" t="s">
        <v>72</v>
      </c>
    </row>
    <row r="86" spans="1:4" x14ac:dyDescent="0.25">
      <c r="A86" s="2">
        <v>43756</v>
      </c>
      <c r="B86" t="s">
        <v>15</v>
      </c>
      <c r="C86" s="1">
        <v>605.28</v>
      </c>
      <c r="D86" t="s">
        <v>72</v>
      </c>
    </row>
    <row r="87" spans="1:4" x14ac:dyDescent="0.25">
      <c r="A87" s="2">
        <v>43763</v>
      </c>
      <c r="B87" t="s">
        <v>49</v>
      </c>
      <c r="C87" s="1">
        <v>28</v>
      </c>
      <c r="D87" t="s">
        <v>72</v>
      </c>
    </row>
    <row r="88" spans="1:4" x14ac:dyDescent="0.25">
      <c r="A88" s="2">
        <v>43770</v>
      </c>
      <c r="B88" t="s">
        <v>6</v>
      </c>
      <c r="C88" s="1">
        <v>75</v>
      </c>
      <c r="D88" t="s">
        <v>72</v>
      </c>
    </row>
    <row r="89" spans="1:4" x14ac:dyDescent="0.25">
      <c r="A89" s="2">
        <v>43773</v>
      </c>
      <c r="B89" t="s">
        <v>15</v>
      </c>
      <c r="C89" s="1">
        <v>30.12</v>
      </c>
      <c r="D89" t="s">
        <v>72</v>
      </c>
    </row>
    <row r="90" spans="1:4" x14ac:dyDescent="0.25">
      <c r="A90" s="2">
        <v>43782</v>
      </c>
      <c r="B90" t="s">
        <v>17</v>
      </c>
      <c r="C90" s="1">
        <v>182.73</v>
      </c>
      <c r="D90" t="s">
        <v>72</v>
      </c>
    </row>
    <row r="91" spans="1:4" x14ac:dyDescent="0.25">
      <c r="A91" s="2">
        <v>43788</v>
      </c>
      <c r="B91" t="s">
        <v>17</v>
      </c>
      <c r="C91" s="1">
        <v>192.21</v>
      </c>
      <c r="D91" t="s">
        <v>72</v>
      </c>
    </row>
    <row r="92" spans="1:4" x14ac:dyDescent="0.25">
      <c r="A92" s="2">
        <v>43789</v>
      </c>
      <c r="B92" t="s">
        <v>19</v>
      </c>
      <c r="C92" s="1">
        <v>26.84</v>
      </c>
      <c r="D92" t="s">
        <v>72</v>
      </c>
    </row>
    <row r="93" spans="1:4" x14ac:dyDescent="0.25">
      <c r="A93" s="2">
        <v>43789</v>
      </c>
      <c r="B93" t="s">
        <v>15</v>
      </c>
      <c r="C93" s="1">
        <v>602.28</v>
      </c>
      <c r="D93" t="s">
        <v>72</v>
      </c>
    </row>
    <row r="94" spans="1:4" x14ac:dyDescent="0.25">
      <c r="A94" s="2">
        <v>43794</v>
      </c>
      <c r="B94" t="s">
        <v>49</v>
      </c>
      <c r="C94" s="1">
        <v>28</v>
      </c>
      <c r="D94" t="s">
        <v>72</v>
      </c>
    </row>
    <row r="95" spans="1:4" x14ac:dyDescent="0.25">
      <c r="A95" s="2">
        <v>43801</v>
      </c>
      <c r="B95" t="s">
        <v>15</v>
      </c>
      <c r="C95" s="1">
        <v>30.12</v>
      </c>
      <c r="D95" t="s">
        <v>72</v>
      </c>
    </row>
    <row r="96" spans="1:4" x14ac:dyDescent="0.25">
      <c r="C96" s="3">
        <f>SUM(C36:C95)</f>
        <v>11800.160000000003</v>
      </c>
    </row>
    <row r="100" spans="1:4" x14ac:dyDescent="0.25">
      <c r="A100" s="2">
        <v>43473</v>
      </c>
      <c r="B100" t="s">
        <v>37</v>
      </c>
      <c r="C100" s="1">
        <v>35</v>
      </c>
      <c r="D100" t="s">
        <v>73</v>
      </c>
    </row>
    <row r="101" spans="1:4" x14ac:dyDescent="0.25">
      <c r="A101" s="2">
        <v>43475</v>
      </c>
      <c r="B101" t="s">
        <v>6</v>
      </c>
      <c r="C101" s="1">
        <v>27</v>
      </c>
      <c r="D101" t="s">
        <v>73</v>
      </c>
    </row>
    <row r="102" spans="1:4" x14ac:dyDescent="0.25">
      <c r="A102" s="2">
        <v>43481</v>
      </c>
      <c r="B102" t="s">
        <v>10</v>
      </c>
      <c r="C102" s="1">
        <v>50</v>
      </c>
      <c r="D102" t="s">
        <v>73</v>
      </c>
    </row>
    <row r="103" spans="1:4" x14ac:dyDescent="0.25">
      <c r="A103" s="2">
        <v>43488</v>
      </c>
      <c r="B103" t="s">
        <v>14</v>
      </c>
      <c r="C103" s="1">
        <v>58.18</v>
      </c>
      <c r="D103" t="s">
        <v>73</v>
      </c>
    </row>
    <row r="104" spans="1:4" x14ac:dyDescent="0.25">
      <c r="A104" s="2">
        <v>43492</v>
      </c>
      <c r="B104" t="s">
        <v>18</v>
      </c>
      <c r="C104" s="1">
        <v>25</v>
      </c>
      <c r="D104" t="s">
        <v>73</v>
      </c>
    </row>
    <row r="105" spans="1:4" x14ac:dyDescent="0.25">
      <c r="A105" s="2">
        <v>43493</v>
      </c>
      <c r="B105" t="s">
        <v>16</v>
      </c>
      <c r="C105" s="1">
        <v>16.079999999999998</v>
      </c>
      <c r="D105" t="s">
        <v>73</v>
      </c>
    </row>
    <row r="106" spans="1:4" x14ac:dyDescent="0.25">
      <c r="A106" s="2">
        <v>43501</v>
      </c>
      <c r="B106" t="s">
        <v>10</v>
      </c>
      <c r="C106" s="1">
        <v>24</v>
      </c>
      <c r="D106" t="s">
        <v>73</v>
      </c>
    </row>
    <row r="107" spans="1:4" x14ac:dyDescent="0.25">
      <c r="A107" s="2">
        <v>43503</v>
      </c>
      <c r="B107" t="s">
        <v>37</v>
      </c>
      <c r="C107" s="1">
        <v>27</v>
      </c>
      <c r="D107" t="s">
        <v>73</v>
      </c>
    </row>
    <row r="108" spans="1:4" x14ac:dyDescent="0.25">
      <c r="A108" s="2">
        <v>43507</v>
      </c>
      <c r="B108" t="s">
        <v>6</v>
      </c>
      <c r="C108" s="1">
        <v>28</v>
      </c>
      <c r="D108" t="s">
        <v>73</v>
      </c>
    </row>
    <row r="109" spans="1:4" x14ac:dyDescent="0.25">
      <c r="A109" s="2">
        <v>43511</v>
      </c>
      <c r="B109" t="s">
        <v>14</v>
      </c>
      <c r="C109" s="1">
        <v>20.04</v>
      </c>
      <c r="D109" t="s">
        <v>73</v>
      </c>
    </row>
    <row r="110" spans="1:4" x14ac:dyDescent="0.25">
      <c r="A110" s="2">
        <v>43515</v>
      </c>
      <c r="B110" t="s">
        <v>75</v>
      </c>
      <c r="C110" s="1">
        <v>9.9700000000000006</v>
      </c>
      <c r="D110" t="s">
        <v>73</v>
      </c>
    </row>
    <row r="111" spans="1:4" x14ac:dyDescent="0.25">
      <c r="A111" s="2">
        <v>43515</v>
      </c>
      <c r="B111" t="s">
        <v>75</v>
      </c>
      <c r="C111" s="1">
        <v>44.99</v>
      </c>
      <c r="D111" t="s">
        <v>73</v>
      </c>
    </row>
    <row r="112" spans="1:4" x14ac:dyDescent="0.25">
      <c r="A112" s="2">
        <v>43516</v>
      </c>
      <c r="B112" t="s">
        <v>22</v>
      </c>
      <c r="C112" s="1">
        <v>35</v>
      </c>
      <c r="D112" t="s">
        <v>73</v>
      </c>
    </row>
    <row r="113" spans="1:4" x14ac:dyDescent="0.25">
      <c r="A113" s="2">
        <v>43518</v>
      </c>
      <c r="B113" t="s">
        <v>23</v>
      </c>
      <c r="C113" s="1">
        <v>9.4600000000000009</v>
      </c>
      <c r="D113" t="s">
        <v>73</v>
      </c>
    </row>
    <row r="114" spans="1:4" x14ac:dyDescent="0.25">
      <c r="A114" s="2">
        <v>43522</v>
      </c>
      <c r="B114" t="s">
        <v>14</v>
      </c>
      <c r="C114" s="1">
        <v>105.12</v>
      </c>
      <c r="D114" t="s">
        <v>73</v>
      </c>
    </row>
    <row r="115" spans="1:4" x14ac:dyDescent="0.25">
      <c r="A115" s="2">
        <v>43524</v>
      </c>
      <c r="B115" t="s">
        <v>14</v>
      </c>
      <c r="C115" s="1">
        <v>35</v>
      </c>
      <c r="D115" t="s">
        <v>73</v>
      </c>
    </row>
    <row r="116" spans="1:4" x14ac:dyDescent="0.25">
      <c r="A116" s="2">
        <v>43524</v>
      </c>
      <c r="B116" t="s">
        <v>24</v>
      </c>
      <c r="C116" s="1">
        <v>50</v>
      </c>
      <c r="D116" t="s">
        <v>73</v>
      </c>
    </row>
    <row r="117" spans="1:4" x14ac:dyDescent="0.25">
      <c r="A117" s="2">
        <v>43524</v>
      </c>
      <c r="B117" t="s">
        <v>25</v>
      </c>
      <c r="C117" s="1">
        <v>50</v>
      </c>
      <c r="D117" t="s">
        <v>73</v>
      </c>
    </row>
    <row r="118" spans="1:4" x14ac:dyDescent="0.25">
      <c r="A118" s="2">
        <v>43523</v>
      </c>
      <c r="B118" t="s">
        <v>26</v>
      </c>
      <c r="C118" s="1">
        <v>25</v>
      </c>
      <c r="D118" t="s">
        <v>73</v>
      </c>
    </row>
    <row r="119" spans="1:4" x14ac:dyDescent="0.25">
      <c r="A119" s="2">
        <v>43528</v>
      </c>
      <c r="B119" t="s">
        <v>31</v>
      </c>
      <c r="C119" s="1">
        <v>9</v>
      </c>
      <c r="D119" t="s">
        <v>73</v>
      </c>
    </row>
    <row r="120" spans="1:4" x14ac:dyDescent="0.25">
      <c r="A120" s="2">
        <v>43531</v>
      </c>
      <c r="B120" t="s">
        <v>32</v>
      </c>
      <c r="C120" s="1">
        <v>35</v>
      </c>
      <c r="D120" t="s">
        <v>73</v>
      </c>
    </row>
    <row r="121" spans="1:4" x14ac:dyDescent="0.25">
      <c r="A121" s="2">
        <v>43535</v>
      </c>
      <c r="B121" t="s">
        <v>6</v>
      </c>
      <c r="C121" s="1">
        <v>30</v>
      </c>
      <c r="D121" t="s">
        <v>73</v>
      </c>
    </row>
    <row r="122" spans="1:4" x14ac:dyDescent="0.25">
      <c r="A122" s="2">
        <v>43536</v>
      </c>
      <c r="B122" t="s">
        <v>37</v>
      </c>
      <c r="C122" s="1">
        <v>27</v>
      </c>
      <c r="D122" t="s">
        <v>73</v>
      </c>
    </row>
    <row r="123" spans="1:4" x14ac:dyDescent="0.25">
      <c r="A123" s="2">
        <v>43536</v>
      </c>
      <c r="B123" t="s">
        <v>14</v>
      </c>
      <c r="C123" s="1">
        <v>60</v>
      </c>
      <c r="D123" t="s">
        <v>73</v>
      </c>
    </row>
    <row r="124" spans="1:4" x14ac:dyDescent="0.25">
      <c r="A124" s="2">
        <v>43536</v>
      </c>
      <c r="B124" t="s">
        <v>33</v>
      </c>
      <c r="C124" s="1">
        <v>74.03</v>
      </c>
      <c r="D124" t="s">
        <v>73</v>
      </c>
    </row>
    <row r="125" spans="1:4" x14ac:dyDescent="0.25">
      <c r="A125" s="2">
        <v>43537</v>
      </c>
      <c r="B125" t="s">
        <v>10</v>
      </c>
      <c r="C125" s="1">
        <v>50</v>
      </c>
      <c r="D125" t="s">
        <v>73</v>
      </c>
    </row>
    <row r="126" spans="1:4" x14ac:dyDescent="0.25">
      <c r="A126" s="2">
        <v>43539</v>
      </c>
      <c r="B126" t="s">
        <v>14</v>
      </c>
      <c r="C126" s="1">
        <v>20</v>
      </c>
      <c r="D126" t="s">
        <v>73</v>
      </c>
    </row>
    <row r="127" spans="1:4" x14ac:dyDescent="0.25">
      <c r="A127" s="2">
        <v>43543</v>
      </c>
      <c r="B127" t="s">
        <v>22</v>
      </c>
      <c r="C127" s="1">
        <v>35</v>
      </c>
      <c r="D127" t="s">
        <v>73</v>
      </c>
    </row>
    <row r="128" spans="1:4" x14ac:dyDescent="0.25">
      <c r="A128" s="2">
        <v>43543</v>
      </c>
      <c r="B128" t="s">
        <v>34</v>
      </c>
      <c r="C128" s="1">
        <v>20</v>
      </c>
      <c r="D128" t="s">
        <v>73</v>
      </c>
    </row>
    <row r="129" spans="1:4" x14ac:dyDescent="0.25">
      <c r="A129" s="2">
        <v>43544</v>
      </c>
      <c r="B129" t="s">
        <v>35</v>
      </c>
      <c r="C129" s="1">
        <v>18.13</v>
      </c>
      <c r="D129" t="s">
        <v>73</v>
      </c>
    </row>
    <row r="130" spans="1:4" x14ac:dyDescent="0.25">
      <c r="A130" s="2">
        <v>43544</v>
      </c>
      <c r="B130" t="s">
        <v>36</v>
      </c>
      <c r="C130" s="1">
        <v>50</v>
      </c>
      <c r="D130" t="s">
        <v>73</v>
      </c>
    </row>
    <row r="131" spans="1:4" x14ac:dyDescent="0.25">
      <c r="A131" s="2">
        <v>43557</v>
      </c>
      <c r="B131" t="s">
        <v>39</v>
      </c>
      <c r="C131" s="1">
        <v>45</v>
      </c>
      <c r="D131" t="s">
        <v>73</v>
      </c>
    </row>
    <row r="132" spans="1:4" x14ac:dyDescent="0.25">
      <c r="A132" s="2">
        <v>43558</v>
      </c>
      <c r="B132" t="s">
        <v>40</v>
      </c>
      <c r="C132" s="1">
        <v>15</v>
      </c>
      <c r="D132" t="s">
        <v>73</v>
      </c>
    </row>
    <row r="133" spans="1:4" x14ac:dyDescent="0.25">
      <c r="A133" s="2">
        <v>43559</v>
      </c>
      <c r="B133" t="s">
        <v>6</v>
      </c>
      <c r="C133" s="1">
        <v>50</v>
      </c>
      <c r="D133" t="s">
        <v>73</v>
      </c>
    </row>
    <row r="134" spans="1:4" x14ac:dyDescent="0.25">
      <c r="A134" s="2">
        <v>43559</v>
      </c>
      <c r="B134" t="s">
        <v>39</v>
      </c>
      <c r="C134" s="1">
        <v>45</v>
      </c>
      <c r="D134" t="s">
        <v>73</v>
      </c>
    </row>
    <row r="135" spans="1:4" x14ac:dyDescent="0.25">
      <c r="A135" s="2">
        <v>43564</v>
      </c>
      <c r="B135" t="s">
        <v>39</v>
      </c>
      <c r="C135" s="1">
        <v>45</v>
      </c>
      <c r="D135" t="s">
        <v>73</v>
      </c>
    </row>
    <row r="136" spans="1:4" x14ac:dyDescent="0.25">
      <c r="A136" s="2">
        <v>43567</v>
      </c>
      <c r="B136" t="s">
        <v>39</v>
      </c>
      <c r="C136" s="1">
        <v>45</v>
      </c>
      <c r="D136" t="s">
        <v>73</v>
      </c>
    </row>
    <row r="137" spans="1:4" x14ac:dyDescent="0.25">
      <c r="A137" s="2">
        <v>43571</v>
      </c>
      <c r="B137" t="s">
        <v>39</v>
      </c>
      <c r="C137" s="1">
        <v>45</v>
      </c>
      <c r="D137" t="s">
        <v>73</v>
      </c>
    </row>
    <row r="138" spans="1:4" x14ac:dyDescent="0.25">
      <c r="A138" s="2">
        <v>43574</v>
      </c>
      <c r="B138" t="s">
        <v>39</v>
      </c>
      <c r="C138" s="1">
        <v>45</v>
      </c>
      <c r="D138" t="s">
        <v>73</v>
      </c>
    </row>
    <row r="139" spans="1:4" x14ac:dyDescent="0.25">
      <c r="A139" s="2">
        <v>43574</v>
      </c>
      <c r="B139" t="s">
        <v>22</v>
      </c>
      <c r="C139" s="1">
        <v>35</v>
      </c>
      <c r="D139" t="s">
        <v>73</v>
      </c>
    </row>
    <row r="140" spans="1:4" x14ac:dyDescent="0.25">
      <c r="A140" s="2">
        <v>43579</v>
      </c>
      <c r="B140" t="s">
        <v>39</v>
      </c>
      <c r="C140" s="1">
        <v>45</v>
      </c>
      <c r="D140" t="s">
        <v>73</v>
      </c>
    </row>
    <row r="141" spans="1:4" x14ac:dyDescent="0.25">
      <c r="A141" s="2">
        <v>43591</v>
      </c>
      <c r="B141" t="s">
        <v>42</v>
      </c>
      <c r="C141" s="1">
        <v>35</v>
      </c>
      <c r="D141" t="s">
        <v>73</v>
      </c>
    </row>
    <row r="142" spans="1:4" x14ac:dyDescent="0.25">
      <c r="A142" s="2">
        <v>43591</v>
      </c>
      <c r="B142" t="s">
        <v>35</v>
      </c>
      <c r="C142" s="1">
        <v>130.69</v>
      </c>
      <c r="D142" t="s">
        <v>73</v>
      </c>
    </row>
    <row r="143" spans="1:4" x14ac:dyDescent="0.25">
      <c r="A143" s="2">
        <v>43592</v>
      </c>
      <c r="B143" t="s">
        <v>35</v>
      </c>
      <c r="C143" s="1">
        <v>29.52</v>
      </c>
      <c r="D143" t="s">
        <v>73</v>
      </c>
    </row>
    <row r="144" spans="1:4" x14ac:dyDescent="0.25">
      <c r="A144" s="2">
        <v>43602</v>
      </c>
      <c r="B144" t="s">
        <v>47</v>
      </c>
      <c r="C144" s="1">
        <v>10.039999999999999</v>
      </c>
      <c r="D144" t="s">
        <v>73</v>
      </c>
    </row>
    <row r="145" spans="1:4" x14ac:dyDescent="0.25">
      <c r="A145" s="2">
        <v>43602</v>
      </c>
      <c r="B145" t="s">
        <v>48</v>
      </c>
      <c r="C145" s="1">
        <v>20</v>
      </c>
      <c r="D145" t="s">
        <v>73</v>
      </c>
    </row>
    <row r="146" spans="1:4" x14ac:dyDescent="0.25">
      <c r="A146" s="2">
        <v>43606</v>
      </c>
      <c r="B146" t="s">
        <v>22</v>
      </c>
      <c r="C146" s="1">
        <v>35</v>
      </c>
      <c r="D146" t="s">
        <v>73</v>
      </c>
    </row>
    <row r="147" spans="1:4" x14ac:dyDescent="0.25">
      <c r="A147" s="2">
        <v>43607</v>
      </c>
      <c r="B147" t="s">
        <v>6</v>
      </c>
      <c r="C147" s="1">
        <v>31</v>
      </c>
      <c r="D147" t="s">
        <v>73</v>
      </c>
    </row>
    <row r="148" spans="1:4" x14ac:dyDescent="0.25">
      <c r="A148" s="2">
        <v>43585</v>
      </c>
      <c r="B148" t="s">
        <v>48</v>
      </c>
      <c r="C148" s="1">
        <v>45</v>
      </c>
      <c r="D148" t="s">
        <v>73</v>
      </c>
    </row>
    <row r="149" spans="1:4" x14ac:dyDescent="0.25">
      <c r="A149" s="2">
        <v>43621</v>
      </c>
      <c r="B149" t="s">
        <v>35</v>
      </c>
      <c r="C149" s="1">
        <v>5.72</v>
      </c>
      <c r="D149" t="s">
        <v>73</v>
      </c>
    </row>
    <row r="150" spans="1:4" x14ac:dyDescent="0.25">
      <c r="A150" s="2">
        <v>43622</v>
      </c>
      <c r="B150" t="s">
        <v>47</v>
      </c>
      <c r="C150" s="1">
        <v>85.72</v>
      </c>
      <c r="D150" t="s">
        <v>73</v>
      </c>
    </row>
    <row r="151" spans="1:4" x14ac:dyDescent="0.25">
      <c r="A151" s="2">
        <v>43626</v>
      </c>
      <c r="B151" t="s">
        <v>6</v>
      </c>
      <c r="C151" s="1">
        <v>60</v>
      </c>
      <c r="D151" t="s">
        <v>73</v>
      </c>
    </row>
    <row r="152" spans="1:4" x14ac:dyDescent="0.25">
      <c r="A152" s="2">
        <v>43629</v>
      </c>
      <c r="B152" t="s">
        <v>42</v>
      </c>
      <c r="C152" s="1">
        <v>25</v>
      </c>
      <c r="D152" t="s">
        <v>73</v>
      </c>
    </row>
    <row r="153" spans="1:4" x14ac:dyDescent="0.25">
      <c r="A153" s="2">
        <v>43630</v>
      </c>
      <c r="B153" t="s">
        <v>35</v>
      </c>
      <c r="C153" s="1">
        <v>35.76</v>
      </c>
      <c r="D153" t="s">
        <v>73</v>
      </c>
    </row>
    <row r="154" spans="1:4" x14ac:dyDescent="0.25">
      <c r="A154" s="2">
        <v>43635</v>
      </c>
      <c r="B154" t="s">
        <v>48</v>
      </c>
      <c r="C154" s="1">
        <v>20</v>
      </c>
      <c r="D154" t="s">
        <v>73</v>
      </c>
    </row>
    <row r="155" spans="1:4" x14ac:dyDescent="0.25">
      <c r="A155" s="2">
        <v>43636</v>
      </c>
      <c r="B155" t="s">
        <v>54</v>
      </c>
      <c r="C155" s="1">
        <v>50</v>
      </c>
      <c r="D155" t="s">
        <v>73</v>
      </c>
    </row>
    <row r="156" spans="1:4" x14ac:dyDescent="0.25">
      <c r="A156" s="2">
        <v>43637</v>
      </c>
      <c r="B156" t="s">
        <v>47</v>
      </c>
      <c r="C156" s="1">
        <v>75</v>
      </c>
      <c r="D156" t="s">
        <v>73</v>
      </c>
    </row>
    <row r="157" spans="1:4" x14ac:dyDescent="0.25">
      <c r="A157" s="2">
        <v>43644</v>
      </c>
      <c r="B157" t="s">
        <v>55</v>
      </c>
      <c r="C157" s="1">
        <v>45.95</v>
      </c>
      <c r="D157" t="s">
        <v>73</v>
      </c>
    </row>
    <row r="158" spans="1:4" x14ac:dyDescent="0.25">
      <c r="A158" s="2">
        <v>43644</v>
      </c>
      <c r="B158" t="s">
        <v>56</v>
      </c>
      <c r="C158" s="1">
        <v>50</v>
      </c>
      <c r="D158" t="s">
        <v>73</v>
      </c>
    </row>
    <row r="159" spans="1:4" x14ac:dyDescent="0.25">
      <c r="A159" s="2">
        <v>43648</v>
      </c>
      <c r="B159" t="s">
        <v>6</v>
      </c>
      <c r="C159" s="1">
        <v>50</v>
      </c>
      <c r="D159" t="s">
        <v>73</v>
      </c>
    </row>
    <row r="160" spans="1:4" x14ac:dyDescent="0.25">
      <c r="A160" s="2">
        <v>43648</v>
      </c>
      <c r="B160" t="s">
        <v>47</v>
      </c>
      <c r="C160" s="1">
        <v>33.5</v>
      </c>
      <c r="D160" t="s">
        <v>73</v>
      </c>
    </row>
    <row r="161" spans="1:4" x14ac:dyDescent="0.25">
      <c r="A161" s="2">
        <v>43649</v>
      </c>
      <c r="B161" t="s">
        <v>35</v>
      </c>
      <c r="C161" s="1">
        <v>8.1</v>
      </c>
      <c r="D161" t="s">
        <v>73</v>
      </c>
    </row>
    <row r="162" spans="1:4" x14ac:dyDescent="0.25">
      <c r="A162" s="2">
        <v>43649</v>
      </c>
      <c r="B162" t="s">
        <v>42</v>
      </c>
      <c r="C162" s="1">
        <v>30</v>
      </c>
      <c r="D162" t="s">
        <v>73</v>
      </c>
    </row>
    <row r="163" spans="1:4" x14ac:dyDescent="0.25">
      <c r="A163" s="2">
        <v>43651</v>
      </c>
      <c r="B163" t="s">
        <v>6</v>
      </c>
      <c r="C163" s="1">
        <v>60</v>
      </c>
      <c r="D163" t="s">
        <v>73</v>
      </c>
    </row>
    <row r="164" spans="1:4" x14ac:dyDescent="0.25">
      <c r="A164" s="2">
        <v>43663</v>
      </c>
      <c r="B164" t="s">
        <v>48</v>
      </c>
      <c r="C164" s="1">
        <v>20</v>
      </c>
      <c r="D164" t="s">
        <v>73</v>
      </c>
    </row>
    <row r="165" spans="1:4" x14ac:dyDescent="0.25">
      <c r="A165" s="2">
        <v>43663</v>
      </c>
      <c r="B165" t="s">
        <v>57</v>
      </c>
      <c r="C165" s="1">
        <v>50</v>
      </c>
      <c r="D165" t="s">
        <v>73</v>
      </c>
    </row>
    <row r="166" spans="1:4" x14ac:dyDescent="0.25">
      <c r="A166" s="2">
        <v>43665</v>
      </c>
      <c r="B166" t="s">
        <v>35</v>
      </c>
      <c r="C166" s="1">
        <v>18.600000000000001</v>
      </c>
      <c r="D166" t="s">
        <v>73</v>
      </c>
    </row>
    <row r="167" spans="1:4" x14ac:dyDescent="0.25">
      <c r="A167" s="2">
        <v>43665</v>
      </c>
      <c r="B167" t="s">
        <v>48</v>
      </c>
      <c r="C167" s="1">
        <v>175</v>
      </c>
      <c r="D167" t="s">
        <v>73</v>
      </c>
    </row>
    <row r="168" spans="1:4" x14ac:dyDescent="0.25">
      <c r="A168" s="2">
        <v>43677</v>
      </c>
      <c r="B168" t="s">
        <v>48</v>
      </c>
      <c r="C168" s="1">
        <v>45</v>
      </c>
      <c r="D168" t="s">
        <v>73</v>
      </c>
    </row>
    <row r="169" spans="1:4" x14ac:dyDescent="0.25">
      <c r="A169" s="2">
        <v>43678</v>
      </c>
      <c r="B169" t="s">
        <v>56</v>
      </c>
      <c r="C169" s="1">
        <v>130</v>
      </c>
      <c r="D169" t="s">
        <v>73</v>
      </c>
    </row>
    <row r="170" spans="1:4" x14ac:dyDescent="0.25">
      <c r="A170" s="2">
        <v>43686</v>
      </c>
      <c r="B170" t="s">
        <v>35</v>
      </c>
      <c r="C170" s="1">
        <v>10</v>
      </c>
      <c r="D170" t="s">
        <v>73</v>
      </c>
    </row>
    <row r="171" spans="1:4" x14ac:dyDescent="0.25">
      <c r="A171" s="2">
        <v>43686</v>
      </c>
      <c r="B171" t="s">
        <v>35</v>
      </c>
      <c r="C171" s="1">
        <v>28.41</v>
      </c>
      <c r="D171" t="s">
        <v>73</v>
      </c>
    </row>
    <row r="172" spans="1:4" x14ac:dyDescent="0.25">
      <c r="A172" s="2">
        <v>43686</v>
      </c>
      <c r="B172" t="s">
        <v>42</v>
      </c>
      <c r="C172" s="1">
        <v>30</v>
      </c>
      <c r="D172" t="s">
        <v>73</v>
      </c>
    </row>
    <row r="173" spans="1:4" x14ac:dyDescent="0.25">
      <c r="A173" s="2">
        <v>43691</v>
      </c>
      <c r="B173" t="s">
        <v>48</v>
      </c>
      <c r="C173" s="1">
        <v>140</v>
      </c>
      <c r="D173" t="s">
        <v>73</v>
      </c>
    </row>
    <row r="174" spans="1:4" x14ac:dyDescent="0.25">
      <c r="A174" s="2">
        <v>43692</v>
      </c>
      <c r="B174" t="s">
        <v>6</v>
      </c>
      <c r="C174" s="1">
        <v>57</v>
      </c>
      <c r="D174" t="s">
        <v>73</v>
      </c>
    </row>
    <row r="175" spans="1:4" x14ac:dyDescent="0.25">
      <c r="A175" s="2">
        <v>43693</v>
      </c>
      <c r="B175" t="s">
        <v>47</v>
      </c>
      <c r="C175" s="1">
        <v>10.039999999999999</v>
      </c>
      <c r="D175" t="s">
        <v>73</v>
      </c>
    </row>
    <row r="176" spans="1:4" x14ac:dyDescent="0.25">
      <c r="A176" s="2">
        <v>43704</v>
      </c>
      <c r="B176" t="s">
        <v>35</v>
      </c>
      <c r="C176" s="1">
        <v>119.7</v>
      </c>
      <c r="D176" t="s">
        <v>73</v>
      </c>
    </row>
    <row r="177" spans="1:4" x14ac:dyDescent="0.25">
      <c r="A177" s="2">
        <v>43713</v>
      </c>
      <c r="B177" t="s">
        <v>31</v>
      </c>
      <c r="C177" s="1">
        <v>30</v>
      </c>
      <c r="D177" t="s">
        <v>73</v>
      </c>
    </row>
    <row r="178" spans="1:4" x14ac:dyDescent="0.25">
      <c r="A178" s="2">
        <v>43718</v>
      </c>
      <c r="B178" t="s">
        <v>6</v>
      </c>
      <c r="C178" s="1">
        <v>75</v>
      </c>
      <c r="D178" t="s">
        <v>73</v>
      </c>
    </row>
    <row r="179" spans="1:4" x14ac:dyDescent="0.25">
      <c r="A179" s="2">
        <v>43720</v>
      </c>
      <c r="B179" t="s">
        <v>25</v>
      </c>
      <c r="C179" s="1">
        <v>50</v>
      </c>
      <c r="D179" t="s">
        <v>73</v>
      </c>
    </row>
    <row r="180" spans="1:4" x14ac:dyDescent="0.25">
      <c r="A180" s="2">
        <v>43720</v>
      </c>
      <c r="B180" t="s">
        <v>6</v>
      </c>
      <c r="C180" s="1">
        <v>75</v>
      </c>
      <c r="D180" t="s">
        <v>73</v>
      </c>
    </row>
    <row r="181" spans="1:4" x14ac:dyDescent="0.25">
      <c r="A181" s="2">
        <v>43724</v>
      </c>
      <c r="B181" t="s">
        <v>42</v>
      </c>
      <c r="C181" s="1">
        <v>30</v>
      </c>
      <c r="D181" t="s">
        <v>73</v>
      </c>
    </row>
    <row r="182" spans="1:4" x14ac:dyDescent="0.25">
      <c r="A182" s="2">
        <v>43726</v>
      </c>
      <c r="B182" t="s">
        <v>48</v>
      </c>
      <c r="C182" s="1">
        <v>100</v>
      </c>
      <c r="D182" t="s">
        <v>73</v>
      </c>
    </row>
    <row r="183" spans="1:4" x14ac:dyDescent="0.25">
      <c r="A183" s="2">
        <v>43728</v>
      </c>
      <c r="B183" t="s">
        <v>35</v>
      </c>
      <c r="C183" s="1">
        <v>24.93</v>
      </c>
      <c r="D183" t="s">
        <v>73</v>
      </c>
    </row>
    <row r="184" spans="1:4" x14ac:dyDescent="0.25">
      <c r="A184" s="2">
        <v>43728</v>
      </c>
      <c r="B184" t="s">
        <v>22</v>
      </c>
      <c r="C184" s="1">
        <v>212.5</v>
      </c>
      <c r="D184" t="s">
        <v>73</v>
      </c>
    </row>
    <row r="185" spans="1:4" x14ac:dyDescent="0.25">
      <c r="A185" s="2">
        <v>43738</v>
      </c>
      <c r="B185" t="s">
        <v>25</v>
      </c>
      <c r="C185" s="1">
        <v>50</v>
      </c>
      <c r="D185" t="s">
        <v>73</v>
      </c>
    </row>
    <row r="186" spans="1:4" x14ac:dyDescent="0.25">
      <c r="A186" s="2">
        <v>43742</v>
      </c>
      <c r="B186" t="s">
        <v>64</v>
      </c>
      <c r="C186" s="1">
        <v>50</v>
      </c>
      <c r="D186" t="s">
        <v>73</v>
      </c>
    </row>
    <row r="187" spans="1:4" x14ac:dyDescent="0.25">
      <c r="A187" s="2">
        <v>43745</v>
      </c>
      <c r="B187" t="s">
        <v>47</v>
      </c>
      <c r="C187" s="1">
        <v>30</v>
      </c>
      <c r="D187" t="s">
        <v>73</v>
      </c>
    </row>
    <row r="188" spans="1:4" x14ac:dyDescent="0.25">
      <c r="A188" s="2">
        <v>43754</v>
      </c>
      <c r="B188" t="s">
        <v>47</v>
      </c>
      <c r="C188" s="1">
        <v>20</v>
      </c>
      <c r="D188" t="s">
        <v>73</v>
      </c>
    </row>
    <row r="189" spans="1:4" x14ac:dyDescent="0.25">
      <c r="A189" s="2">
        <v>43755</v>
      </c>
      <c r="B189" t="s">
        <v>64</v>
      </c>
      <c r="C189" s="1">
        <v>50</v>
      </c>
      <c r="D189" t="s">
        <v>73</v>
      </c>
    </row>
    <row r="190" spans="1:4" x14ac:dyDescent="0.25">
      <c r="A190" s="2">
        <v>43756</v>
      </c>
      <c r="B190" t="s">
        <v>47</v>
      </c>
      <c r="C190" s="1">
        <v>30</v>
      </c>
      <c r="D190" t="s">
        <v>73</v>
      </c>
    </row>
    <row r="191" spans="1:4" x14ac:dyDescent="0.25">
      <c r="A191" s="2">
        <v>43760</v>
      </c>
      <c r="B191" t="s">
        <v>64</v>
      </c>
      <c r="C191" s="1">
        <v>50</v>
      </c>
      <c r="D191" t="s">
        <v>73</v>
      </c>
    </row>
    <row r="192" spans="1:4" x14ac:dyDescent="0.25">
      <c r="A192" s="2">
        <v>43762</v>
      </c>
      <c r="B192" t="s">
        <v>6</v>
      </c>
      <c r="C192" s="1">
        <v>118</v>
      </c>
      <c r="D192" t="s">
        <v>73</v>
      </c>
    </row>
    <row r="193" spans="1:4" x14ac:dyDescent="0.25">
      <c r="A193" s="2">
        <v>43767</v>
      </c>
      <c r="B193" t="s">
        <v>64</v>
      </c>
      <c r="C193" s="1">
        <v>50</v>
      </c>
      <c r="D193" t="s">
        <v>73</v>
      </c>
    </row>
    <row r="194" spans="1:4" x14ac:dyDescent="0.25">
      <c r="A194" s="2">
        <v>43775</v>
      </c>
      <c r="B194" t="s">
        <v>32</v>
      </c>
      <c r="C194" s="1">
        <v>30</v>
      </c>
      <c r="D194" t="s">
        <v>73</v>
      </c>
    </row>
    <row r="195" spans="1:4" x14ac:dyDescent="0.25">
      <c r="A195" s="2">
        <v>43777</v>
      </c>
      <c r="B195" t="s">
        <v>64</v>
      </c>
      <c r="C195" s="1">
        <v>50</v>
      </c>
      <c r="D195" t="s">
        <v>73</v>
      </c>
    </row>
    <row r="196" spans="1:4" x14ac:dyDescent="0.25">
      <c r="A196" s="2">
        <v>43787</v>
      </c>
      <c r="B196" t="s">
        <v>47</v>
      </c>
      <c r="C196" s="1">
        <v>80</v>
      </c>
      <c r="D196" t="s">
        <v>73</v>
      </c>
    </row>
    <row r="197" spans="1:4" x14ac:dyDescent="0.25">
      <c r="A197" s="2">
        <v>43790</v>
      </c>
      <c r="B197" t="s">
        <v>67</v>
      </c>
      <c r="C197" s="1">
        <v>25</v>
      </c>
      <c r="D197" t="s">
        <v>73</v>
      </c>
    </row>
    <row r="198" spans="1:4" x14ac:dyDescent="0.25">
      <c r="A198" s="2">
        <v>43791</v>
      </c>
      <c r="B198" t="s">
        <v>64</v>
      </c>
      <c r="C198" s="1">
        <v>25</v>
      </c>
      <c r="D198" t="s">
        <v>73</v>
      </c>
    </row>
    <row r="199" spans="1:4" x14ac:dyDescent="0.25">
      <c r="A199" s="2">
        <v>43791</v>
      </c>
      <c r="B199" t="s">
        <v>64</v>
      </c>
      <c r="C199" s="1">
        <v>50</v>
      </c>
      <c r="D199" t="s">
        <v>73</v>
      </c>
    </row>
    <row r="200" spans="1:4" x14ac:dyDescent="0.25">
      <c r="A200" s="2">
        <v>43794</v>
      </c>
      <c r="B200" t="s">
        <v>47</v>
      </c>
      <c r="C200" s="1">
        <v>60</v>
      </c>
      <c r="D200" t="s">
        <v>73</v>
      </c>
    </row>
    <row r="201" spans="1:4" x14ac:dyDescent="0.25">
      <c r="A201" s="2">
        <v>43801</v>
      </c>
      <c r="B201" t="s">
        <v>68</v>
      </c>
      <c r="C201" s="1">
        <v>50</v>
      </c>
      <c r="D201" t="s">
        <v>73</v>
      </c>
    </row>
    <row r="202" spans="1:4" x14ac:dyDescent="0.25">
      <c r="C202" s="3">
        <f>SUM(C100:C201)</f>
        <v>4738.1799999999994</v>
      </c>
    </row>
    <row r="206" spans="1:4" x14ac:dyDescent="0.25">
      <c r="A206" s="2">
        <v>43469</v>
      </c>
      <c r="B206" t="s">
        <v>3</v>
      </c>
      <c r="C206" s="1">
        <v>14.24</v>
      </c>
      <c r="D206" t="s">
        <v>71</v>
      </c>
    </row>
    <row r="207" spans="1:4" x14ac:dyDescent="0.25">
      <c r="A207" s="2">
        <v>43473</v>
      </c>
      <c r="B207" t="s">
        <v>5</v>
      </c>
      <c r="C207" s="1">
        <v>11.61</v>
      </c>
      <c r="D207" t="s">
        <v>71</v>
      </c>
    </row>
    <row r="208" spans="1:4" x14ac:dyDescent="0.25">
      <c r="A208" s="2">
        <v>43479</v>
      </c>
      <c r="B208" t="s">
        <v>8</v>
      </c>
      <c r="C208" s="1">
        <v>45</v>
      </c>
      <c r="D208" t="s">
        <v>71</v>
      </c>
    </row>
    <row r="209" spans="1:4" x14ac:dyDescent="0.25">
      <c r="A209" s="2">
        <v>43482</v>
      </c>
      <c r="B209" t="s">
        <v>11</v>
      </c>
      <c r="C209" s="1">
        <v>59.99</v>
      </c>
      <c r="D209" t="s">
        <v>71</v>
      </c>
    </row>
    <row r="210" spans="1:4" x14ac:dyDescent="0.25">
      <c r="A210" s="2">
        <v>43483</v>
      </c>
      <c r="B210" t="s">
        <v>12</v>
      </c>
      <c r="C210" s="1">
        <v>17.25</v>
      </c>
      <c r="D210" t="s">
        <v>71</v>
      </c>
    </row>
    <row r="211" spans="1:4" x14ac:dyDescent="0.25">
      <c r="A211" s="2">
        <v>43503</v>
      </c>
      <c r="B211" t="s">
        <v>20</v>
      </c>
      <c r="C211" s="1">
        <v>30.58</v>
      </c>
      <c r="D211" t="s">
        <v>71</v>
      </c>
    </row>
    <row r="212" spans="1:4" x14ac:dyDescent="0.25">
      <c r="A212" s="2">
        <v>43504</v>
      </c>
      <c r="B212" t="s">
        <v>21</v>
      </c>
      <c r="C212" s="1">
        <v>16.96</v>
      </c>
      <c r="D212" t="s">
        <v>71</v>
      </c>
    </row>
    <row r="213" spans="1:4" x14ac:dyDescent="0.25">
      <c r="A213" s="2">
        <v>43535</v>
      </c>
      <c r="B213" t="s">
        <v>8</v>
      </c>
      <c r="C213" s="1">
        <v>32</v>
      </c>
      <c r="D213" t="s">
        <v>71</v>
      </c>
    </row>
    <row r="214" spans="1:4" x14ac:dyDescent="0.25">
      <c r="A214" s="2">
        <v>43550</v>
      </c>
      <c r="B214" t="s">
        <v>8</v>
      </c>
      <c r="C214" s="1">
        <v>45</v>
      </c>
      <c r="D214" t="s">
        <v>71</v>
      </c>
    </row>
    <row r="215" spans="1:4" x14ac:dyDescent="0.25">
      <c r="A215" s="2">
        <v>43559</v>
      </c>
      <c r="B215" t="s">
        <v>8</v>
      </c>
      <c r="C215" s="1">
        <v>33</v>
      </c>
      <c r="D215" t="s">
        <v>71</v>
      </c>
    </row>
    <row r="216" spans="1:4" x14ac:dyDescent="0.25">
      <c r="A216" s="2">
        <v>43567</v>
      </c>
      <c r="B216" t="s">
        <v>21</v>
      </c>
      <c r="C216" s="1">
        <v>11.49</v>
      </c>
      <c r="D216" t="s">
        <v>71</v>
      </c>
    </row>
    <row r="217" spans="1:4" x14ac:dyDescent="0.25">
      <c r="A217" s="2">
        <v>43567</v>
      </c>
      <c r="B217" t="s">
        <v>41</v>
      </c>
      <c r="C217" s="1">
        <v>27.14</v>
      </c>
      <c r="D217" t="s">
        <v>71</v>
      </c>
    </row>
    <row r="218" spans="1:4" x14ac:dyDescent="0.25">
      <c r="A218" s="2">
        <v>43587</v>
      </c>
      <c r="B218" t="s">
        <v>21</v>
      </c>
      <c r="C218" s="1">
        <v>14.35</v>
      </c>
      <c r="D218" t="s">
        <v>71</v>
      </c>
    </row>
    <row r="219" spans="1:4" x14ac:dyDescent="0.25">
      <c r="A219" s="2">
        <v>43602</v>
      </c>
      <c r="B219" t="s">
        <v>21</v>
      </c>
      <c r="C219" s="1">
        <v>15.98</v>
      </c>
      <c r="D219" t="s">
        <v>71</v>
      </c>
    </row>
    <row r="220" spans="1:4" x14ac:dyDescent="0.25">
      <c r="A220" s="2">
        <v>43609</v>
      </c>
      <c r="B220" t="s">
        <v>21</v>
      </c>
      <c r="C220" s="1">
        <v>29.12</v>
      </c>
      <c r="D220" t="s">
        <v>71</v>
      </c>
    </row>
    <row r="221" spans="1:4" x14ac:dyDescent="0.25">
      <c r="A221" s="2">
        <v>43613</v>
      </c>
      <c r="B221" t="s">
        <v>8</v>
      </c>
      <c r="C221" s="1">
        <v>162.37</v>
      </c>
      <c r="D221" t="s">
        <v>71</v>
      </c>
    </row>
    <row r="222" spans="1:4" x14ac:dyDescent="0.25">
      <c r="A222" s="2">
        <v>43620</v>
      </c>
      <c r="B222" t="s">
        <v>53</v>
      </c>
      <c r="C222" s="1">
        <v>44.1</v>
      </c>
      <c r="D222" t="s">
        <v>71</v>
      </c>
    </row>
    <row r="223" spans="1:4" x14ac:dyDescent="0.25">
      <c r="A223" s="2">
        <v>43630</v>
      </c>
      <c r="B223" t="s">
        <v>21</v>
      </c>
      <c r="C223" s="1">
        <v>15.98</v>
      </c>
      <c r="D223" t="s">
        <v>71</v>
      </c>
    </row>
    <row r="224" spans="1:4" x14ac:dyDescent="0.25">
      <c r="A224" s="2">
        <v>43637</v>
      </c>
      <c r="B224" t="s">
        <v>21</v>
      </c>
      <c r="C224" s="1">
        <v>14.46</v>
      </c>
      <c r="D224" t="s">
        <v>71</v>
      </c>
    </row>
    <row r="225" spans="1:5" x14ac:dyDescent="0.25">
      <c r="A225" s="2">
        <v>43662</v>
      </c>
      <c r="B225" t="s">
        <v>5</v>
      </c>
      <c r="C225" s="1">
        <v>14.61</v>
      </c>
      <c r="D225" t="s">
        <v>71</v>
      </c>
    </row>
    <row r="226" spans="1:5" x14ac:dyDescent="0.25">
      <c r="A226" s="2">
        <v>43668</v>
      </c>
      <c r="B226" t="s">
        <v>21</v>
      </c>
      <c r="C226" s="1">
        <v>11.82</v>
      </c>
      <c r="D226" t="s">
        <v>71</v>
      </c>
    </row>
    <row r="227" spans="1:5" x14ac:dyDescent="0.25">
      <c r="A227" s="2">
        <v>43693</v>
      </c>
      <c r="B227" t="s">
        <v>21</v>
      </c>
      <c r="C227" s="1">
        <v>14.85</v>
      </c>
      <c r="D227" t="s">
        <v>71</v>
      </c>
    </row>
    <row r="228" spans="1:5" x14ac:dyDescent="0.25">
      <c r="A228" s="2">
        <v>43732</v>
      </c>
      <c r="B228" t="s">
        <v>21</v>
      </c>
      <c r="C228" s="1">
        <v>14.24</v>
      </c>
      <c r="D228" t="s">
        <v>71</v>
      </c>
    </row>
    <row r="229" spans="1:5" x14ac:dyDescent="0.25">
      <c r="A229" s="2">
        <v>43753</v>
      </c>
      <c r="B229" t="s">
        <v>65</v>
      </c>
      <c r="C229" s="1">
        <v>12.3</v>
      </c>
      <c r="D229" t="s">
        <v>71</v>
      </c>
    </row>
    <row r="230" spans="1:5" x14ac:dyDescent="0.25">
      <c r="A230" s="2">
        <v>43794</v>
      </c>
      <c r="B230" t="s">
        <v>21</v>
      </c>
      <c r="C230" s="1">
        <v>10.94</v>
      </c>
      <c r="D230" t="s">
        <v>71</v>
      </c>
    </row>
    <row r="231" spans="1:5" x14ac:dyDescent="0.25">
      <c r="C231" s="3">
        <f>SUM(C206:C230)</f>
        <v>719.38000000000022</v>
      </c>
    </row>
    <row r="234" spans="1:5" x14ac:dyDescent="0.25">
      <c r="A234" s="2">
        <v>43570</v>
      </c>
      <c r="B234" t="s">
        <v>46</v>
      </c>
      <c r="C234" s="3">
        <v>387</v>
      </c>
      <c r="D234" t="s">
        <v>77</v>
      </c>
    </row>
    <row r="237" spans="1:5" x14ac:dyDescent="0.25">
      <c r="A237" s="2">
        <v>43480</v>
      </c>
      <c r="B237" t="s">
        <v>9</v>
      </c>
      <c r="C237" s="1">
        <v>247.68</v>
      </c>
      <c r="D237" t="s">
        <v>74</v>
      </c>
    </row>
    <row r="238" spans="1:5" x14ac:dyDescent="0.25">
      <c r="A238" s="2">
        <v>43515</v>
      </c>
      <c r="B238" t="s">
        <v>9</v>
      </c>
      <c r="C238" s="1">
        <v>110.66</v>
      </c>
      <c r="D238" t="s">
        <v>74</v>
      </c>
    </row>
    <row r="239" spans="1:5" x14ac:dyDescent="0.25">
      <c r="A239" s="2">
        <v>43571</v>
      </c>
      <c r="B239" t="s">
        <v>9</v>
      </c>
      <c r="C239" s="1">
        <v>174.65</v>
      </c>
      <c r="D239" t="s">
        <v>74</v>
      </c>
    </row>
    <row r="240" spans="1:5" x14ac:dyDescent="0.25">
      <c r="A240" s="2">
        <v>43579</v>
      </c>
      <c r="B240" t="s">
        <v>9</v>
      </c>
      <c r="C240" s="1">
        <v>19.95</v>
      </c>
      <c r="D240" t="s">
        <v>74</v>
      </c>
      <c r="E240" s="1"/>
    </row>
    <row r="241" spans="1:5" x14ac:dyDescent="0.25">
      <c r="A241" s="2">
        <v>43592</v>
      </c>
      <c r="B241" t="s">
        <v>9</v>
      </c>
      <c r="C241" s="1">
        <v>19.95</v>
      </c>
      <c r="D241" t="s">
        <v>74</v>
      </c>
    </row>
    <row r="242" spans="1:5" x14ac:dyDescent="0.25">
      <c r="A242" s="2">
        <v>43616</v>
      </c>
      <c r="B242" t="s">
        <v>51</v>
      </c>
      <c r="C242" s="1">
        <v>198.89</v>
      </c>
      <c r="D242" t="s">
        <v>74</v>
      </c>
    </row>
    <row r="243" spans="1:5" x14ac:dyDescent="0.25">
      <c r="A243" s="2">
        <v>43630</v>
      </c>
      <c r="B243" t="s">
        <v>51</v>
      </c>
      <c r="C243" s="1">
        <v>145.22999999999999</v>
      </c>
      <c r="D243" t="s">
        <v>74</v>
      </c>
    </row>
    <row r="244" spans="1:5" x14ac:dyDescent="0.25">
      <c r="A244" s="2">
        <v>43724</v>
      </c>
      <c r="B244" t="s">
        <v>51</v>
      </c>
      <c r="C244" s="1">
        <v>133.12</v>
      </c>
      <c r="D244" t="s">
        <v>74</v>
      </c>
    </row>
    <row r="245" spans="1:5" x14ac:dyDescent="0.25">
      <c r="A245" s="2">
        <v>43753</v>
      </c>
      <c r="B245" t="s">
        <v>51</v>
      </c>
      <c r="C245" s="1">
        <v>140.47</v>
      </c>
      <c r="D245" t="s">
        <v>74</v>
      </c>
    </row>
    <row r="246" spans="1:5" x14ac:dyDescent="0.25">
      <c r="A246" s="2">
        <v>43536</v>
      </c>
      <c r="B246" t="s">
        <v>17</v>
      </c>
      <c r="C246" s="1">
        <v>314.74</v>
      </c>
      <c r="D246" t="s">
        <v>74</v>
      </c>
    </row>
    <row r="247" spans="1:5" x14ac:dyDescent="0.25">
      <c r="A247" s="2">
        <v>43595</v>
      </c>
      <c r="B247" t="s">
        <v>17</v>
      </c>
      <c r="C247" s="1">
        <v>227.24</v>
      </c>
      <c r="D247" t="s">
        <v>74</v>
      </c>
    </row>
    <row r="248" spans="1:5" x14ac:dyDescent="0.25">
      <c r="A248" s="2">
        <v>43627</v>
      </c>
      <c r="B248" t="s">
        <v>17</v>
      </c>
      <c r="C248" s="1">
        <v>151.24</v>
      </c>
      <c r="D248" t="s">
        <v>74</v>
      </c>
    </row>
    <row r="249" spans="1:5" x14ac:dyDescent="0.25">
      <c r="A249" s="2">
        <v>43655</v>
      </c>
      <c r="B249" t="s">
        <v>17</v>
      </c>
      <c r="C249" s="1">
        <v>168.34</v>
      </c>
      <c r="D249" t="s">
        <v>74</v>
      </c>
    </row>
    <row r="250" spans="1:5" x14ac:dyDescent="0.25">
      <c r="A250" s="2">
        <v>43683</v>
      </c>
      <c r="B250" t="s">
        <v>17</v>
      </c>
      <c r="C250" s="1">
        <v>35.950000000000003</v>
      </c>
      <c r="D250" t="s">
        <v>74</v>
      </c>
    </row>
    <row r="251" spans="1:5" x14ac:dyDescent="0.25">
      <c r="A251" s="2">
        <v>43689</v>
      </c>
      <c r="B251" t="s">
        <v>17</v>
      </c>
      <c r="C251" s="1">
        <v>206.46</v>
      </c>
      <c r="D251" t="s">
        <v>74</v>
      </c>
    </row>
    <row r="252" spans="1:5" x14ac:dyDescent="0.25">
      <c r="A252" s="2">
        <v>43718</v>
      </c>
      <c r="B252" t="s">
        <v>17</v>
      </c>
      <c r="C252" s="1">
        <v>212.08</v>
      </c>
      <c r="D252" t="s">
        <v>74</v>
      </c>
    </row>
    <row r="253" spans="1:5" x14ac:dyDescent="0.25">
      <c r="A253" s="2">
        <v>43721</v>
      </c>
      <c r="B253" t="s">
        <v>17</v>
      </c>
      <c r="C253" s="1">
        <v>208.16</v>
      </c>
      <c r="D253" t="s">
        <v>74</v>
      </c>
    </row>
    <row r="254" spans="1:5" x14ac:dyDescent="0.25">
      <c r="A254" s="2">
        <v>43748</v>
      </c>
      <c r="B254" t="s">
        <v>17</v>
      </c>
      <c r="C254" s="1">
        <v>191.37</v>
      </c>
      <c r="D254" t="s">
        <v>74</v>
      </c>
      <c r="E254" s="1"/>
    </row>
    <row r="255" spans="1:5" x14ac:dyDescent="0.25">
      <c r="A255" s="2">
        <v>43752</v>
      </c>
      <c r="B255" t="s">
        <v>17</v>
      </c>
      <c r="C255" s="1">
        <v>213.8</v>
      </c>
      <c r="D255" t="s">
        <v>74</v>
      </c>
    </row>
    <row r="256" spans="1:5" x14ac:dyDescent="0.25">
      <c r="A256" s="2">
        <v>43613</v>
      </c>
      <c r="B256" t="s">
        <v>50</v>
      </c>
      <c r="C256" s="1">
        <v>187.33</v>
      </c>
      <c r="D256" t="s">
        <v>74</v>
      </c>
      <c r="E256" s="1"/>
    </row>
    <row r="257" spans="1:5" x14ac:dyDescent="0.25">
      <c r="A257" s="2">
        <v>43649</v>
      </c>
      <c r="B257" t="s">
        <v>50</v>
      </c>
      <c r="C257" s="1">
        <v>152.97999999999999</v>
      </c>
      <c r="D257" t="s">
        <v>74</v>
      </c>
      <c r="E257" s="1"/>
    </row>
    <row r="258" spans="1:5" x14ac:dyDescent="0.25">
      <c r="A258" s="2">
        <v>43760</v>
      </c>
      <c r="B258" t="s">
        <v>50</v>
      </c>
      <c r="C258" s="1">
        <v>192.71</v>
      </c>
      <c r="D258" t="s">
        <v>74</v>
      </c>
    </row>
    <row r="259" spans="1:5" x14ac:dyDescent="0.25">
      <c r="A259" s="2">
        <v>43528</v>
      </c>
      <c r="B259" t="s">
        <v>30</v>
      </c>
      <c r="C259" s="1">
        <v>193.13</v>
      </c>
      <c r="D259" t="s">
        <v>74</v>
      </c>
    </row>
    <row r="260" spans="1:5" x14ac:dyDescent="0.25">
      <c r="C260" s="3">
        <f>SUM(C237:C259)</f>
        <v>3846.13</v>
      </c>
    </row>
  </sheetData>
  <sortState ref="A238:D259">
    <sortCondition ref="B238:B25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"/>
  <sheetViews>
    <sheetView topLeftCell="A38" zoomScale="166" zoomScaleNormal="166" workbookViewId="0">
      <selection activeCell="F53" sqref="F53"/>
    </sheetView>
  </sheetViews>
  <sheetFormatPr defaultRowHeight="15" x14ac:dyDescent="0.25"/>
  <cols>
    <col min="1" max="1" width="15.140625" style="2" customWidth="1"/>
    <col min="2" max="2" width="26.28515625" bestFit="1" customWidth="1"/>
    <col min="3" max="3" width="13.28515625" style="1" customWidth="1"/>
    <col min="4" max="4" width="17.5703125" customWidth="1"/>
    <col min="5" max="5" width="11.5703125" bestFit="1" customWidth="1"/>
    <col min="6" max="6" width="11.5703125" style="1" bestFit="1" customWidth="1"/>
    <col min="7" max="7" width="14.42578125" customWidth="1"/>
    <col min="8" max="8" width="11.5703125" bestFit="1" customWidth="1"/>
  </cols>
  <sheetData>
    <row r="1" spans="1:7" x14ac:dyDescent="0.25">
      <c r="A1" s="2" t="s">
        <v>0</v>
      </c>
      <c r="B1" t="s">
        <v>1</v>
      </c>
      <c r="C1" s="1" t="s">
        <v>2</v>
      </c>
      <c r="D1" t="s">
        <v>70</v>
      </c>
    </row>
    <row r="2" spans="1:7" x14ac:dyDescent="0.25">
      <c r="A2" s="2">
        <v>43492</v>
      </c>
      <c r="B2" t="s">
        <v>27</v>
      </c>
      <c r="C2" s="1">
        <v>25</v>
      </c>
      <c r="D2" t="s">
        <v>76</v>
      </c>
    </row>
    <row r="3" spans="1:7" x14ac:dyDescent="0.25">
      <c r="A3" s="2">
        <v>43495</v>
      </c>
      <c r="B3" t="s">
        <v>28</v>
      </c>
      <c r="C3" s="1">
        <v>12</v>
      </c>
      <c r="D3" t="s">
        <v>76</v>
      </c>
    </row>
    <row r="4" spans="1:7" x14ac:dyDescent="0.25">
      <c r="A4" s="2">
        <v>43499</v>
      </c>
      <c r="B4" t="s">
        <v>28</v>
      </c>
      <c r="C4" s="1">
        <v>50</v>
      </c>
      <c r="D4" t="s">
        <v>76</v>
      </c>
    </row>
    <row r="5" spans="1:7" x14ac:dyDescent="0.25">
      <c r="A5" s="2">
        <v>43506</v>
      </c>
      <c r="B5" t="s">
        <v>28</v>
      </c>
      <c r="C5" s="1">
        <v>100</v>
      </c>
      <c r="D5" t="s">
        <v>76</v>
      </c>
      <c r="G5" s="1"/>
    </row>
    <row r="6" spans="1:7" x14ac:dyDescent="0.25">
      <c r="A6" s="2">
        <v>43516</v>
      </c>
      <c r="B6" t="s">
        <v>29</v>
      </c>
      <c r="C6" s="1">
        <v>12</v>
      </c>
      <c r="D6" t="s">
        <v>76</v>
      </c>
    </row>
    <row r="7" spans="1:7" x14ac:dyDescent="0.25">
      <c r="A7" s="2">
        <v>43520</v>
      </c>
      <c r="B7" t="s">
        <v>28</v>
      </c>
      <c r="C7" s="1">
        <v>100</v>
      </c>
      <c r="D7" t="s">
        <v>76</v>
      </c>
    </row>
    <row r="8" spans="1:7" x14ac:dyDescent="0.25">
      <c r="A8" s="2">
        <v>43544</v>
      </c>
      <c r="B8" t="s">
        <v>28</v>
      </c>
      <c r="C8" s="1">
        <v>12</v>
      </c>
      <c r="D8" t="s">
        <v>76</v>
      </c>
      <c r="F8" s="5"/>
    </row>
    <row r="9" spans="1:7" x14ac:dyDescent="0.25">
      <c r="A9" s="2">
        <v>43545</v>
      </c>
      <c r="B9" t="s">
        <v>44</v>
      </c>
      <c r="C9" s="1">
        <v>15</v>
      </c>
      <c r="D9" t="s">
        <v>76</v>
      </c>
    </row>
    <row r="10" spans="1:7" x14ac:dyDescent="0.25">
      <c r="A10" s="2">
        <v>43552</v>
      </c>
      <c r="B10" t="s">
        <v>38</v>
      </c>
      <c r="C10" s="1">
        <v>15</v>
      </c>
      <c r="D10" t="s">
        <v>76</v>
      </c>
      <c r="G10">
        <f>322.08+150+395+7076.97+300+500+325.14+461+756.22+1200</f>
        <v>11486.409999999998</v>
      </c>
    </row>
    <row r="11" spans="1:7" x14ac:dyDescent="0.25">
      <c r="A11" s="2">
        <v>43562</v>
      </c>
      <c r="B11" t="s">
        <v>28</v>
      </c>
      <c r="C11" s="1">
        <v>25</v>
      </c>
      <c r="D11" t="s">
        <v>76</v>
      </c>
    </row>
    <row r="12" spans="1:7" x14ac:dyDescent="0.25">
      <c r="A12" s="2">
        <v>43565</v>
      </c>
      <c r="B12" t="s">
        <v>28</v>
      </c>
      <c r="C12" s="1">
        <v>18</v>
      </c>
      <c r="D12" t="s">
        <v>76</v>
      </c>
    </row>
    <row r="13" spans="1:7" x14ac:dyDescent="0.25">
      <c r="A13" s="2">
        <v>43583</v>
      </c>
      <c r="B13" t="s">
        <v>28</v>
      </c>
      <c r="C13" s="1">
        <v>100</v>
      </c>
      <c r="D13" t="s">
        <v>76</v>
      </c>
    </row>
    <row r="14" spans="1:7" x14ac:dyDescent="0.25">
      <c r="A14" s="2">
        <v>43586</v>
      </c>
      <c r="B14" t="s">
        <v>28</v>
      </c>
      <c r="C14" s="1">
        <v>12</v>
      </c>
      <c r="D14" t="s">
        <v>76</v>
      </c>
    </row>
    <row r="15" spans="1:7" x14ac:dyDescent="0.25">
      <c r="A15" s="2">
        <v>43586</v>
      </c>
      <c r="B15" t="s">
        <v>28</v>
      </c>
      <c r="C15" s="1">
        <v>12</v>
      </c>
      <c r="D15" t="s">
        <v>76</v>
      </c>
    </row>
    <row r="16" spans="1:7" x14ac:dyDescent="0.25">
      <c r="A16" s="2">
        <v>43604</v>
      </c>
      <c r="B16" t="s">
        <v>28</v>
      </c>
      <c r="C16" s="1">
        <v>50</v>
      </c>
      <c r="D16" t="s">
        <v>76</v>
      </c>
    </row>
    <row r="17" spans="1:4" x14ac:dyDescent="0.25">
      <c r="A17" s="2">
        <v>43611</v>
      </c>
      <c r="B17" t="s">
        <v>52</v>
      </c>
      <c r="C17" s="1">
        <v>25</v>
      </c>
      <c r="D17" t="s">
        <v>76</v>
      </c>
    </row>
    <row r="18" spans="1:4" x14ac:dyDescent="0.25">
      <c r="A18" s="2">
        <v>43618</v>
      </c>
      <c r="B18" t="s">
        <v>28</v>
      </c>
      <c r="C18" s="1">
        <v>25</v>
      </c>
      <c r="D18" t="s">
        <v>76</v>
      </c>
    </row>
    <row r="19" spans="1:4" x14ac:dyDescent="0.25">
      <c r="A19" s="2">
        <v>43639</v>
      </c>
      <c r="B19" t="s">
        <v>28</v>
      </c>
      <c r="C19" s="1">
        <v>25</v>
      </c>
      <c r="D19" t="s">
        <v>76</v>
      </c>
    </row>
    <row r="20" spans="1:4" x14ac:dyDescent="0.25">
      <c r="A20" s="2">
        <v>43653</v>
      </c>
      <c r="B20" t="s">
        <v>58</v>
      </c>
      <c r="C20" s="1">
        <v>25</v>
      </c>
      <c r="D20" t="s">
        <v>76</v>
      </c>
    </row>
    <row r="21" spans="1:4" x14ac:dyDescent="0.25">
      <c r="A21" s="2">
        <v>43660</v>
      </c>
      <c r="B21" t="s">
        <v>59</v>
      </c>
      <c r="C21" s="1">
        <v>25</v>
      </c>
      <c r="D21" t="s">
        <v>76</v>
      </c>
    </row>
    <row r="22" spans="1:4" x14ac:dyDescent="0.25">
      <c r="A22" s="2">
        <v>43674</v>
      </c>
      <c r="B22" t="s">
        <v>58</v>
      </c>
      <c r="C22" s="1">
        <v>25</v>
      </c>
      <c r="D22" t="s">
        <v>76</v>
      </c>
    </row>
    <row r="23" spans="1:4" x14ac:dyDescent="0.25">
      <c r="A23" s="2">
        <v>43688</v>
      </c>
      <c r="B23" t="s">
        <v>28</v>
      </c>
      <c r="C23" s="1">
        <v>25</v>
      </c>
      <c r="D23" t="s">
        <v>76</v>
      </c>
    </row>
    <row r="24" spans="1:4" x14ac:dyDescent="0.25">
      <c r="A24" s="2">
        <v>43723</v>
      </c>
      <c r="B24" t="s">
        <v>28</v>
      </c>
      <c r="C24" s="1">
        <v>50</v>
      </c>
      <c r="D24" t="s">
        <v>76</v>
      </c>
    </row>
    <row r="25" spans="1:4" x14ac:dyDescent="0.25">
      <c r="A25" s="2">
        <v>43730</v>
      </c>
      <c r="B25" t="s">
        <v>28</v>
      </c>
      <c r="C25" s="1">
        <v>25</v>
      </c>
      <c r="D25" t="s">
        <v>76</v>
      </c>
    </row>
    <row r="26" spans="1:4" x14ac:dyDescent="0.25">
      <c r="A26" s="2">
        <v>43737</v>
      </c>
      <c r="B26" t="s">
        <v>28</v>
      </c>
      <c r="C26" s="1">
        <v>25</v>
      </c>
      <c r="D26" t="s">
        <v>76</v>
      </c>
    </row>
    <row r="27" spans="1:4" x14ac:dyDescent="0.25">
      <c r="A27" s="2">
        <v>43744</v>
      </c>
      <c r="B27" t="s">
        <v>52</v>
      </c>
      <c r="C27" s="1">
        <v>25</v>
      </c>
      <c r="D27" t="s">
        <v>76</v>
      </c>
    </row>
    <row r="28" spans="1:4" x14ac:dyDescent="0.25">
      <c r="A28" s="2">
        <v>43751</v>
      </c>
      <c r="B28" t="s">
        <v>66</v>
      </c>
      <c r="C28" s="1">
        <v>25</v>
      </c>
      <c r="D28" t="s">
        <v>76</v>
      </c>
    </row>
    <row r="29" spans="1:4" x14ac:dyDescent="0.25">
      <c r="A29" s="2">
        <v>43765</v>
      </c>
      <c r="B29" t="s">
        <v>28</v>
      </c>
      <c r="C29" s="1">
        <v>50</v>
      </c>
      <c r="D29" t="s">
        <v>76</v>
      </c>
    </row>
    <row r="30" spans="1:4" x14ac:dyDescent="0.25">
      <c r="A30" s="2">
        <v>43793</v>
      </c>
      <c r="B30" t="s">
        <v>28</v>
      </c>
      <c r="C30" s="1">
        <v>25</v>
      </c>
      <c r="D30" t="s">
        <v>76</v>
      </c>
    </row>
    <row r="31" spans="1:4" x14ac:dyDescent="0.25">
      <c r="A31" s="2">
        <v>43793</v>
      </c>
      <c r="B31" t="s">
        <v>69</v>
      </c>
      <c r="C31" s="1">
        <v>14</v>
      </c>
      <c r="D31" t="s">
        <v>76</v>
      </c>
    </row>
    <row r="32" spans="1:4" x14ac:dyDescent="0.25">
      <c r="A32" s="2">
        <v>43472</v>
      </c>
      <c r="B32" t="s">
        <v>52</v>
      </c>
      <c r="C32" s="1">
        <v>38</v>
      </c>
      <c r="D32" t="s">
        <v>76</v>
      </c>
    </row>
    <row r="33" spans="1:4" x14ac:dyDescent="0.25">
      <c r="A33" s="2">
        <v>43475</v>
      </c>
      <c r="B33" t="s">
        <v>28</v>
      </c>
      <c r="C33" s="1">
        <v>25</v>
      </c>
      <c r="D33" t="s">
        <v>76</v>
      </c>
    </row>
    <row r="34" spans="1:4" x14ac:dyDescent="0.25">
      <c r="A34" s="2">
        <v>43487</v>
      </c>
      <c r="B34" t="s">
        <v>52</v>
      </c>
      <c r="C34" s="1">
        <v>25</v>
      </c>
      <c r="D34" t="s">
        <v>76</v>
      </c>
    </row>
    <row r="35" spans="1:4" x14ac:dyDescent="0.25">
      <c r="C35" s="1">
        <f>SUM(C2:C34)</f>
        <v>1060</v>
      </c>
    </row>
    <row r="39" spans="1:4" x14ac:dyDescent="0.25">
      <c r="A39" s="2">
        <v>43665</v>
      </c>
      <c r="B39" t="s">
        <v>60</v>
      </c>
      <c r="C39" s="1">
        <v>150</v>
      </c>
      <c r="D39" t="s">
        <v>72</v>
      </c>
    </row>
    <row r="40" spans="1:4" x14ac:dyDescent="0.25">
      <c r="A40" s="2">
        <v>43668</v>
      </c>
      <c r="B40" t="s">
        <v>60</v>
      </c>
      <c r="C40" s="1">
        <v>150</v>
      </c>
      <c r="D40" t="s">
        <v>72</v>
      </c>
    </row>
    <row r="41" spans="1:4" x14ac:dyDescent="0.25">
      <c r="A41" s="2">
        <v>43670</v>
      </c>
      <c r="B41" t="s">
        <v>63</v>
      </c>
      <c r="C41" s="1">
        <v>288.49</v>
      </c>
      <c r="D41" t="s">
        <v>72</v>
      </c>
    </row>
    <row r="42" spans="1:4" x14ac:dyDescent="0.25">
      <c r="A42" s="2">
        <v>43721</v>
      </c>
      <c r="B42" t="s">
        <v>63</v>
      </c>
      <c r="C42" s="1">
        <v>36.65</v>
      </c>
      <c r="D42" t="s">
        <v>72</v>
      </c>
    </row>
    <row r="43" spans="1:4" x14ac:dyDescent="0.25">
      <c r="A43" s="2">
        <v>43607</v>
      </c>
      <c r="B43" t="s">
        <v>49</v>
      </c>
      <c r="C43" s="1">
        <v>100</v>
      </c>
      <c r="D43" t="s">
        <v>72</v>
      </c>
    </row>
    <row r="44" spans="1:4" x14ac:dyDescent="0.25">
      <c r="A44" s="2">
        <v>43642</v>
      </c>
      <c r="B44" t="s">
        <v>49</v>
      </c>
      <c r="C44" s="1">
        <v>75</v>
      </c>
      <c r="D44" t="s">
        <v>72</v>
      </c>
    </row>
    <row r="45" spans="1:4" x14ac:dyDescent="0.25">
      <c r="A45" s="2">
        <v>43676</v>
      </c>
      <c r="B45" t="s">
        <v>49</v>
      </c>
      <c r="C45" s="1">
        <v>74</v>
      </c>
      <c r="D45" t="s">
        <v>72</v>
      </c>
    </row>
    <row r="46" spans="1:4" x14ac:dyDescent="0.25">
      <c r="A46" s="2">
        <v>43721</v>
      </c>
      <c r="B46" t="s">
        <v>49</v>
      </c>
      <c r="C46" s="1">
        <v>50</v>
      </c>
      <c r="D46" t="s">
        <v>72</v>
      </c>
    </row>
    <row r="47" spans="1:4" x14ac:dyDescent="0.25">
      <c r="A47" s="2">
        <v>43733</v>
      </c>
      <c r="B47" t="s">
        <v>49</v>
      </c>
      <c r="C47" s="1">
        <v>28</v>
      </c>
      <c r="D47" t="s">
        <v>72</v>
      </c>
    </row>
    <row r="48" spans="1:4" x14ac:dyDescent="0.25">
      <c r="A48" s="2">
        <v>43763</v>
      </c>
      <c r="B48" t="s">
        <v>49</v>
      </c>
      <c r="C48" s="1">
        <v>28</v>
      </c>
      <c r="D48" t="s">
        <v>72</v>
      </c>
    </row>
    <row r="49" spans="1:8" x14ac:dyDescent="0.25">
      <c r="A49" s="2">
        <v>43789</v>
      </c>
      <c r="B49" t="s">
        <v>49</v>
      </c>
      <c r="C49" s="1">
        <v>28</v>
      </c>
      <c r="D49" t="s">
        <v>72</v>
      </c>
    </row>
    <row r="50" spans="1:8" x14ac:dyDescent="0.25">
      <c r="A50" s="2">
        <v>44169</v>
      </c>
      <c r="B50" t="s">
        <v>49</v>
      </c>
      <c r="C50" s="1">
        <v>50</v>
      </c>
      <c r="D50" t="s">
        <v>72</v>
      </c>
      <c r="H50" s="1"/>
    </row>
    <row r="51" spans="1:8" x14ac:dyDescent="0.25">
      <c r="A51" s="2">
        <v>43473</v>
      </c>
      <c r="B51" t="s">
        <v>49</v>
      </c>
      <c r="C51" s="3">
        <v>28</v>
      </c>
      <c r="D51" t="s">
        <v>72</v>
      </c>
    </row>
    <row r="52" spans="1:8" x14ac:dyDescent="0.25">
      <c r="A52" s="2">
        <v>43508</v>
      </c>
      <c r="B52" t="s">
        <v>19</v>
      </c>
      <c r="C52" s="1">
        <v>26.84</v>
      </c>
      <c r="D52" t="s">
        <v>72</v>
      </c>
    </row>
    <row r="53" spans="1:8" x14ac:dyDescent="0.25">
      <c r="A53" s="2">
        <v>43530</v>
      </c>
      <c r="B53" t="s">
        <v>19</v>
      </c>
      <c r="C53" s="1">
        <v>26.84</v>
      </c>
      <c r="D53" t="s">
        <v>72</v>
      </c>
    </row>
    <row r="54" spans="1:8" x14ac:dyDescent="0.25">
      <c r="A54" s="2">
        <v>43559</v>
      </c>
      <c r="B54" t="s">
        <v>19</v>
      </c>
      <c r="C54" s="1">
        <v>26.84</v>
      </c>
      <c r="D54" t="s">
        <v>72</v>
      </c>
    </row>
    <row r="55" spans="1:8" x14ac:dyDescent="0.25">
      <c r="A55" s="2">
        <v>43588</v>
      </c>
      <c r="B55" t="s">
        <v>19</v>
      </c>
      <c r="C55" s="1">
        <v>26.84</v>
      </c>
      <c r="D55" t="s">
        <v>72</v>
      </c>
    </row>
    <row r="56" spans="1:8" x14ac:dyDescent="0.25">
      <c r="A56" s="2">
        <v>43622</v>
      </c>
      <c r="B56" t="s">
        <v>19</v>
      </c>
      <c r="C56" s="1">
        <v>26.84</v>
      </c>
      <c r="D56" t="s">
        <v>72</v>
      </c>
    </row>
    <row r="57" spans="1:8" x14ac:dyDescent="0.25">
      <c r="A57" s="2">
        <v>43654</v>
      </c>
      <c r="B57" t="s">
        <v>19</v>
      </c>
      <c r="C57" s="1">
        <v>26.84</v>
      </c>
      <c r="D57" t="s">
        <v>72</v>
      </c>
    </row>
    <row r="58" spans="1:8" x14ac:dyDescent="0.25">
      <c r="A58" s="2">
        <v>43683</v>
      </c>
      <c r="B58" t="s">
        <v>19</v>
      </c>
      <c r="C58" s="1">
        <v>26.84</v>
      </c>
      <c r="D58" t="s">
        <v>72</v>
      </c>
    </row>
    <row r="59" spans="1:8" x14ac:dyDescent="0.25">
      <c r="A59" s="2">
        <v>43711</v>
      </c>
      <c r="B59" t="s">
        <v>19</v>
      </c>
      <c r="C59" s="1">
        <v>26.84</v>
      </c>
      <c r="D59" t="s">
        <v>72</v>
      </c>
    </row>
    <row r="60" spans="1:8" x14ac:dyDescent="0.25">
      <c r="A60" s="2">
        <v>43742</v>
      </c>
      <c r="B60" t="s">
        <v>19</v>
      </c>
      <c r="C60" s="1">
        <v>26.84</v>
      </c>
      <c r="D60" t="s">
        <v>72</v>
      </c>
    </row>
    <row r="61" spans="1:8" x14ac:dyDescent="0.25">
      <c r="A61" s="2">
        <v>43782</v>
      </c>
      <c r="B61" t="s">
        <v>19</v>
      </c>
      <c r="C61" s="1">
        <v>26.84</v>
      </c>
      <c r="D61" t="s">
        <v>72</v>
      </c>
    </row>
    <row r="62" spans="1:8" x14ac:dyDescent="0.25">
      <c r="A62" s="2">
        <v>43801</v>
      </c>
      <c r="B62" t="s">
        <v>19</v>
      </c>
      <c r="C62" s="1">
        <v>26.84</v>
      </c>
      <c r="D62" t="s">
        <v>72</v>
      </c>
    </row>
    <row r="63" spans="1:8" x14ac:dyDescent="0.25">
      <c r="A63" s="2">
        <v>43489</v>
      </c>
      <c r="B63" t="s">
        <v>4</v>
      </c>
      <c r="C63" s="1">
        <v>26.84</v>
      </c>
      <c r="D63" t="s">
        <v>72</v>
      </c>
    </row>
    <row r="64" spans="1:8" x14ac:dyDescent="0.25">
      <c r="A64" s="2">
        <v>43588</v>
      </c>
      <c r="B64" t="s">
        <v>43</v>
      </c>
      <c r="C64" s="1">
        <v>150</v>
      </c>
      <c r="D64" t="s">
        <v>72</v>
      </c>
    </row>
    <row r="65" spans="1:8" x14ac:dyDescent="0.25">
      <c r="A65" s="2">
        <v>43666</v>
      </c>
      <c r="B65" t="s">
        <v>61</v>
      </c>
      <c r="C65" s="1">
        <v>500</v>
      </c>
      <c r="D65" t="s">
        <v>72</v>
      </c>
    </row>
    <row r="66" spans="1:8" x14ac:dyDescent="0.25">
      <c r="A66" s="2">
        <v>43490</v>
      </c>
      <c r="B66" t="s">
        <v>13</v>
      </c>
      <c r="C66" s="1">
        <v>7.42</v>
      </c>
      <c r="D66" t="s">
        <v>72</v>
      </c>
    </row>
    <row r="67" spans="1:8" x14ac:dyDescent="0.25">
      <c r="A67" s="2">
        <v>43585</v>
      </c>
      <c r="B67" t="s">
        <v>13</v>
      </c>
      <c r="C67" s="1">
        <v>61.25</v>
      </c>
      <c r="D67" t="s">
        <v>72</v>
      </c>
    </row>
    <row r="68" spans="1:8" x14ac:dyDescent="0.25">
      <c r="A68" s="2">
        <v>43587</v>
      </c>
      <c r="B68" t="s">
        <v>13</v>
      </c>
      <c r="C68" s="1">
        <v>36.049999999999997</v>
      </c>
      <c r="D68" t="s">
        <v>72</v>
      </c>
    </row>
    <row r="69" spans="1:8" x14ac:dyDescent="0.25">
      <c r="A69" s="2">
        <v>43592</v>
      </c>
      <c r="B69" t="s">
        <v>13</v>
      </c>
      <c r="C69" s="1">
        <v>25.76</v>
      </c>
      <c r="D69" t="s">
        <v>72</v>
      </c>
    </row>
    <row r="70" spans="1:8" x14ac:dyDescent="0.25">
      <c r="A70" s="2">
        <v>43630</v>
      </c>
      <c r="B70" t="s">
        <v>13</v>
      </c>
      <c r="C70" s="1">
        <v>176.09</v>
      </c>
      <c r="D70" t="s">
        <v>72</v>
      </c>
    </row>
    <row r="71" spans="1:8" x14ac:dyDescent="0.25">
      <c r="A71" s="2">
        <v>43669</v>
      </c>
      <c r="B71" t="s">
        <v>13</v>
      </c>
      <c r="C71" s="1">
        <v>7.21</v>
      </c>
      <c r="D71" t="s">
        <v>72</v>
      </c>
    </row>
    <row r="72" spans="1:8" x14ac:dyDescent="0.25">
      <c r="A72" s="2">
        <v>43720</v>
      </c>
      <c r="B72" t="s">
        <v>13</v>
      </c>
      <c r="C72" s="1">
        <v>26.98</v>
      </c>
      <c r="D72" t="s">
        <v>72</v>
      </c>
    </row>
    <row r="73" spans="1:8" x14ac:dyDescent="0.25">
      <c r="A73" s="2">
        <v>43741</v>
      </c>
      <c r="B73" t="s">
        <v>13</v>
      </c>
      <c r="C73" s="1">
        <v>54.74</v>
      </c>
      <c r="D73" t="s">
        <v>72</v>
      </c>
    </row>
    <row r="74" spans="1:8" x14ac:dyDescent="0.25">
      <c r="A74" s="2">
        <v>43689</v>
      </c>
      <c r="B74" t="s">
        <v>62</v>
      </c>
      <c r="C74" s="1">
        <v>410.37</v>
      </c>
      <c r="D74" t="s">
        <v>72</v>
      </c>
    </row>
    <row r="75" spans="1:8" x14ac:dyDescent="0.25">
      <c r="A75" s="2">
        <v>43794</v>
      </c>
      <c r="B75" t="s">
        <v>62</v>
      </c>
      <c r="C75" s="6">
        <v>344.85</v>
      </c>
      <c r="D75" t="s">
        <v>72</v>
      </c>
    </row>
    <row r="76" spans="1:8" x14ac:dyDescent="0.25">
      <c r="A76" s="2">
        <v>43574</v>
      </c>
      <c r="B76" t="s">
        <v>45</v>
      </c>
      <c r="C76" s="1">
        <v>1200</v>
      </c>
      <c r="D76" t="s">
        <v>72</v>
      </c>
    </row>
    <row r="77" spans="1:8" x14ac:dyDescent="0.25">
      <c r="A77" s="2">
        <v>43500</v>
      </c>
      <c r="B77" t="s">
        <v>15</v>
      </c>
      <c r="C77" s="1">
        <v>628.71</v>
      </c>
      <c r="D77" t="s">
        <v>72</v>
      </c>
      <c r="H77" s="1"/>
    </row>
    <row r="78" spans="1:8" x14ac:dyDescent="0.25">
      <c r="A78" s="2">
        <v>43502</v>
      </c>
      <c r="B78" t="s">
        <v>15</v>
      </c>
      <c r="C78" s="1">
        <v>30.12</v>
      </c>
      <c r="D78" t="s">
        <v>72</v>
      </c>
    </row>
    <row r="79" spans="1:8" x14ac:dyDescent="0.25">
      <c r="A79" s="2">
        <v>43528</v>
      </c>
      <c r="B79" t="s">
        <v>15</v>
      </c>
      <c r="C79" s="1">
        <v>30.12</v>
      </c>
      <c r="D79" t="s">
        <v>72</v>
      </c>
    </row>
    <row r="80" spans="1:8" x14ac:dyDescent="0.25">
      <c r="A80" s="2">
        <v>43549</v>
      </c>
      <c r="B80" t="s">
        <v>15</v>
      </c>
      <c r="C80" s="1">
        <v>628.66</v>
      </c>
      <c r="D80" t="s">
        <v>72</v>
      </c>
    </row>
    <row r="81" spans="1:4" x14ac:dyDescent="0.25">
      <c r="A81" s="2">
        <v>43557</v>
      </c>
      <c r="B81" t="s">
        <v>15</v>
      </c>
      <c r="C81" s="1">
        <v>30.12</v>
      </c>
      <c r="D81" t="s">
        <v>72</v>
      </c>
    </row>
    <row r="82" spans="1:4" x14ac:dyDescent="0.25">
      <c r="A82" s="2">
        <v>43581</v>
      </c>
      <c r="B82" t="s">
        <v>15</v>
      </c>
      <c r="C82" s="1">
        <v>628.66</v>
      </c>
      <c r="D82" t="s">
        <v>72</v>
      </c>
    </row>
    <row r="83" spans="1:4" x14ac:dyDescent="0.25">
      <c r="A83" s="2">
        <v>43587</v>
      </c>
      <c r="B83" t="s">
        <v>15</v>
      </c>
      <c r="C83" s="1">
        <v>30.12</v>
      </c>
      <c r="D83" t="s">
        <v>72</v>
      </c>
    </row>
    <row r="84" spans="1:4" x14ac:dyDescent="0.25">
      <c r="A84" s="2">
        <v>43608</v>
      </c>
      <c r="B84" t="s">
        <v>15</v>
      </c>
      <c r="C84" s="1">
        <v>628.66</v>
      </c>
      <c r="D84" t="s">
        <v>72</v>
      </c>
    </row>
    <row r="85" spans="1:4" x14ac:dyDescent="0.25">
      <c r="A85" s="2">
        <v>43620</v>
      </c>
      <c r="B85" t="s">
        <v>15</v>
      </c>
      <c r="C85" s="1">
        <v>30.12</v>
      </c>
      <c r="D85" t="s">
        <v>72</v>
      </c>
    </row>
    <row r="86" spans="1:4" x14ac:dyDescent="0.25">
      <c r="A86" s="2">
        <v>43633</v>
      </c>
      <c r="B86" t="s">
        <v>15</v>
      </c>
      <c r="C86" s="1">
        <v>605.28</v>
      </c>
      <c r="D86" t="s">
        <v>72</v>
      </c>
    </row>
    <row r="87" spans="1:4" x14ac:dyDescent="0.25">
      <c r="A87" s="2">
        <v>43648</v>
      </c>
      <c r="B87" t="s">
        <v>15</v>
      </c>
      <c r="C87" s="1">
        <v>30.12</v>
      </c>
      <c r="D87" t="s">
        <v>72</v>
      </c>
    </row>
    <row r="88" spans="1:4" x14ac:dyDescent="0.25">
      <c r="A88" s="2">
        <v>43664</v>
      </c>
      <c r="B88" t="s">
        <v>15</v>
      </c>
      <c r="C88" s="1">
        <v>605.28</v>
      </c>
      <c r="D88" t="s">
        <v>72</v>
      </c>
    </row>
    <row r="89" spans="1:4" x14ac:dyDescent="0.25">
      <c r="A89" s="2">
        <v>43679</v>
      </c>
      <c r="B89" t="s">
        <v>15</v>
      </c>
      <c r="C89" s="1">
        <v>30.12</v>
      </c>
      <c r="D89" t="s">
        <v>72</v>
      </c>
    </row>
    <row r="90" spans="1:4" x14ac:dyDescent="0.25">
      <c r="A90" s="2">
        <v>43696</v>
      </c>
      <c r="B90" t="s">
        <v>15</v>
      </c>
      <c r="C90" s="1">
        <v>605.28</v>
      </c>
      <c r="D90" t="s">
        <v>72</v>
      </c>
    </row>
    <row r="91" spans="1:4" x14ac:dyDescent="0.25">
      <c r="A91" s="2">
        <v>43712</v>
      </c>
      <c r="B91" t="s">
        <v>15</v>
      </c>
      <c r="C91" s="1">
        <v>30.12</v>
      </c>
      <c r="D91" t="s">
        <v>72</v>
      </c>
    </row>
    <row r="92" spans="1:4" x14ac:dyDescent="0.25">
      <c r="A92" s="2">
        <v>43724</v>
      </c>
      <c r="B92" t="s">
        <v>15</v>
      </c>
      <c r="C92" s="1">
        <v>605.28</v>
      </c>
      <c r="D92" t="s">
        <v>72</v>
      </c>
    </row>
    <row r="93" spans="1:4" x14ac:dyDescent="0.25">
      <c r="A93" s="2">
        <v>43740</v>
      </c>
      <c r="B93" t="s">
        <v>15</v>
      </c>
      <c r="C93" s="1">
        <v>30.12</v>
      </c>
      <c r="D93" t="s">
        <v>72</v>
      </c>
    </row>
    <row r="94" spans="1:4" x14ac:dyDescent="0.25">
      <c r="A94" s="2">
        <v>43756</v>
      </c>
      <c r="B94" t="s">
        <v>15</v>
      </c>
      <c r="C94" s="1">
        <v>605.28</v>
      </c>
      <c r="D94" t="s">
        <v>72</v>
      </c>
    </row>
    <row r="95" spans="1:4" x14ac:dyDescent="0.25">
      <c r="A95" s="2">
        <v>43773</v>
      </c>
      <c r="B95" t="s">
        <v>15</v>
      </c>
      <c r="C95" s="1">
        <v>30.12</v>
      </c>
      <c r="D95" t="s">
        <v>72</v>
      </c>
    </row>
    <row r="96" spans="1:4" x14ac:dyDescent="0.25">
      <c r="A96" s="2">
        <v>43788</v>
      </c>
      <c r="B96" t="s">
        <v>15</v>
      </c>
      <c r="C96" s="1">
        <v>602.28</v>
      </c>
      <c r="D96" t="s">
        <v>72</v>
      </c>
    </row>
    <row r="97" spans="1:4" x14ac:dyDescent="0.25">
      <c r="A97" s="2">
        <v>43789</v>
      </c>
      <c r="B97" t="s">
        <v>15</v>
      </c>
      <c r="C97" s="1">
        <v>30.12</v>
      </c>
      <c r="D97" t="s">
        <v>72</v>
      </c>
    </row>
    <row r="98" spans="1:4" x14ac:dyDescent="0.25">
      <c r="A98" s="2" t="s">
        <v>91</v>
      </c>
      <c r="B98" t="s">
        <v>15</v>
      </c>
      <c r="C98" s="1">
        <v>602.28</v>
      </c>
      <c r="D98" t="s">
        <v>72</v>
      </c>
    </row>
    <row r="99" spans="1:4" x14ac:dyDescent="0.25">
      <c r="C99" s="3">
        <f>SUM(C39:C98)</f>
        <v>11485.910000000005</v>
      </c>
    </row>
    <row r="100" spans="1:4" x14ac:dyDescent="0.25">
      <c r="C100" s="3"/>
    </row>
    <row r="101" spans="1:4" x14ac:dyDescent="0.25">
      <c r="C101" s="3"/>
    </row>
    <row r="102" spans="1:4" x14ac:dyDescent="0.25">
      <c r="A102" s="2">
        <v>43475</v>
      </c>
      <c r="B102" t="s">
        <v>37</v>
      </c>
      <c r="C102" s="1">
        <v>35</v>
      </c>
      <c r="D102" t="s">
        <v>73</v>
      </c>
    </row>
    <row r="103" spans="1:4" x14ac:dyDescent="0.25">
      <c r="A103" s="2">
        <v>43481</v>
      </c>
      <c r="B103" t="s">
        <v>6</v>
      </c>
      <c r="C103" s="1">
        <v>27</v>
      </c>
      <c r="D103" t="s">
        <v>73</v>
      </c>
    </row>
    <row r="104" spans="1:4" x14ac:dyDescent="0.25">
      <c r="A104" s="2">
        <v>43488</v>
      </c>
      <c r="B104" t="s">
        <v>10</v>
      </c>
      <c r="C104" s="1">
        <v>50</v>
      </c>
      <c r="D104" t="s">
        <v>73</v>
      </c>
    </row>
    <row r="105" spans="1:4" x14ac:dyDescent="0.25">
      <c r="A105" s="2">
        <v>43492</v>
      </c>
      <c r="B105" t="s">
        <v>14</v>
      </c>
      <c r="C105" s="1">
        <v>58.18</v>
      </c>
      <c r="D105" t="s">
        <v>73</v>
      </c>
    </row>
    <row r="106" spans="1:4" x14ac:dyDescent="0.25">
      <c r="A106" s="2">
        <v>43493</v>
      </c>
      <c r="B106" t="s">
        <v>18</v>
      </c>
      <c r="C106" s="1">
        <v>25</v>
      </c>
      <c r="D106" t="s">
        <v>73</v>
      </c>
    </row>
    <row r="107" spans="1:4" x14ac:dyDescent="0.25">
      <c r="A107" s="2">
        <v>43501</v>
      </c>
      <c r="B107" t="s">
        <v>16</v>
      </c>
      <c r="C107" s="1">
        <v>16.079999999999998</v>
      </c>
      <c r="D107" t="s">
        <v>73</v>
      </c>
    </row>
    <row r="108" spans="1:4" x14ac:dyDescent="0.25">
      <c r="A108" s="2">
        <v>43503</v>
      </c>
      <c r="B108" t="s">
        <v>10</v>
      </c>
      <c r="C108" s="1">
        <v>24</v>
      </c>
      <c r="D108" t="s">
        <v>73</v>
      </c>
    </row>
    <row r="109" spans="1:4" x14ac:dyDescent="0.25">
      <c r="A109" s="2">
        <v>43507</v>
      </c>
      <c r="B109" t="s">
        <v>37</v>
      </c>
      <c r="C109" s="1">
        <v>27</v>
      </c>
      <c r="D109" t="s">
        <v>73</v>
      </c>
    </row>
    <row r="110" spans="1:4" x14ac:dyDescent="0.25">
      <c r="A110" s="2">
        <v>43511</v>
      </c>
      <c r="B110" t="s">
        <v>6</v>
      </c>
      <c r="C110" s="1">
        <v>28</v>
      </c>
      <c r="D110" t="s">
        <v>73</v>
      </c>
    </row>
    <row r="111" spans="1:4" x14ac:dyDescent="0.25">
      <c r="A111" s="2">
        <v>43515</v>
      </c>
      <c r="B111" t="s">
        <v>14</v>
      </c>
      <c r="C111" s="1">
        <v>20.04</v>
      </c>
      <c r="D111" t="s">
        <v>73</v>
      </c>
    </row>
    <row r="112" spans="1:4" x14ac:dyDescent="0.25">
      <c r="A112" s="2">
        <v>43515</v>
      </c>
      <c r="B112" t="s">
        <v>75</v>
      </c>
      <c r="C112" s="1">
        <v>9.9700000000000006</v>
      </c>
      <c r="D112" t="s">
        <v>73</v>
      </c>
    </row>
    <row r="113" spans="1:4" x14ac:dyDescent="0.25">
      <c r="A113" s="2">
        <v>43516</v>
      </c>
      <c r="B113" t="s">
        <v>75</v>
      </c>
      <c r="C113" s="1">
        <v>44.99</v>
      </c>
      <c r="D113" t="s">
        <v>73</v>
      </c>
    </row>
    <row r="114" spans="1:4" x14ac:dyDescent="0.25">
      <c r="A114" s="2">
        <v>43518</v>
      </c>
      <c r="B114" t="s">
        <v>22</v>
      </c>
      <c r="C114" s="1">
        <v>35</v>
      </c>
      <c r="D114" t="s">
        <v>73</v>
      </c>
    </row>
    <row r="115" spans="1:4" x14ac:dyDescent="0.25">
      <c r="A115" s="2">
        <v>43522</v>
      </c>
      <c r="B115" t="s">
        <v>23</v>
      </c>
      <c r="C115" s="1">
        <v>9.4600000000000009</v>
      </c>
      <c r="D115" t="s">
        <v>73</v>
      </c>
    </row>
    <row r="116" spans="1:4" x14ac:dyDescent="0.25">
      <c r="A116" s="2">
        <v>43523</v>
      </c>
      <c r="B116" t="s">
        <v>14</v>
      </c>
      <c r="C116" s="1">
        <v>105.12</v>
      </c>
      <c r="D116" t="s">
        <v>73</v>
      </c>
    </row>
    <row r="117" spans="1:4" x14ac:dyDescent="0.25">
      <c r="A117" s="2">
        <v>43524</v>
      </c>
      <c r="B117" t="s">
        <v>26</v>
      </c>
      <c r="C117" s="1">
        <v>25</v>
      </c>
      <c r="D117" t="s">
        <v>73</v>
      </c>
    </row>
    <row r="118" spans="1:4" x14ac:dyDescent="0.25">
      <c r="A118" s="2">
        <v>43524</v>
      </c>
      <c r="B118" t="s">
        <v>14</v>
      </c>
      <c r="C118" s="1">
        <v>35</v>
      </c>
      <c r="D118" t="s">
        <v>73</v>
      </c>
    </row>
    <row r="119" spans="1:4" x14ac:dyDescent="0.25">
      <c r="A119" s="2">
        <v>43524</v>
      </c>
      <c r="B119" t="s">
        <v>24</v>
      </c>
      <c r="C119" s="1">
        <v>50</v>
      </c>
      <c r="D119" t="s">
        <v>73</v>
      </c>
    </row>
    <row r="120" spans="1:4" x14ac:dyDescent="0.25">
      <c r="A120" s="2">
        <v>43528</v>
      </c>
      <c r="B120" t="s">
        <v>25</v>
      </c>
      <c r="C120" s="1">
        <v>50</v>
      </c>
      <c r="D120" t="s">
        <v>73</v>
      </c>
    </row>
    <row r="121" spans="1:4" x14ac:dyDescent="0.25">
      <c r="A121" s="2">
        <v>43531</v>
      </c>
      <c r="B121" t="s">
        <v>31</v>
      </c>
      <c r="C121" s="1">
        <v>9</v>
      </c>
      <c r="D121" t="s">
        <v>73</v>
      </c>
    </row>
    <row r="122" spans="1:4" x14ac:dyDescent="0.25">
      <c r="A122" s="2">
        <v>43535</v>
      </c>
      <c r="B122" t="s">
        <v>32</v>
      </c>
      <c r="C122" s="1">
        <v>35</v>
      </c>
      <c r="D122" t="s">
        <v>73</v>
      </c>
    </row>
    <row r="123" spans="1:4" x14ac:dyDescent="0.25">
      <c r="A123" s="2">
        <v>43536</v>
      </c>
      <c r="B123" t="s">
        <v>6</v>
      </c>
      <c r="C123" s="1">
        <v>30</v>
      </c>
      <c r="D123" t="s">
        <v>73</v>
      </c>
    </row>
    <row r="124" spans="1:4" x14ac:dyDescent="0.25">
      <c r="A124" s="2">
        <v>43536</v>
      </c>
      <c r="B124" t="s">
        <v>37</v>
      </c>
      <c r="C124" s="1">
        <v>27</v>
      </c>
      <c r="D124" t="s">
        <v>73</v>
      </c>
    </row>
    <row r="125" spans="1:4" x14ac:dyDescent="0.25">
      <c r="A125" s="2">
        <v>43536</v>
      </c>
      <c r="B125" t="s">
        <v>14</v>
      </c>
      <c r="C125" s="1">
        <v>60</v>
      </c>
      <c r="D125" t="s">
        <v>73</v>
      </c>
    </row>
    <row r="126" spans="1:4" x14ac:dyDescent="0.25">
      <c r="A126" s="2">
        <v>43537</v>
      </c>
      <c r="B126" t="s">
        <v>33</v>
      </c>
      <c r="C126" s="1">
        <v>74.03</v>
      </c>
      <c r="D126" t="s">
        <v>73</v>
      </c>
    </row>
    <row r="127" spans="1:4" x14ac:dyDescent="0.25">
      <c r="A127" s="2">
        <v>43539</v>
      </c>
      <c r="B127" t="s">
        <v>10</v>
      </c>
      <c r="C127" s="1">
        <v>50</v>
      </c>
      <c r="D127" t="s">
        <v>73</v>
      </c>
    </row>
    <row r="128" spans="1:4" x14ac:dyDescent="0.25">
      <c r="A128" s="2">
        <v>43543</v>
      </c>
      <c r="B128" t="s">
        <v>14</v>
      </c>
      <c r="C128" s="1">
        <v>20</v>
      </c>
      <c r="D128" t="s">
        <v>73</v>
      </c>
    </row>
    <row r="129" spans="1:4" x14ac:dyDescent="0.25">
      <c r="A129" s="2">
        <v>43543</v>
      </c>
      <c r="B129" t="s">
        <v>22</v>
      </c>
      <c r="C129" s="1">
        <v>35</v>
      </c>
      <c r="D129" t="s">
        <v>73</v>
      </c>
    </row>
    <row r="130" spans="1:4" x14ac:dyDescent="0.25">
      <c r="A130" s="2">
        <v>43544</v>
      </c>
      <c r="B130" t="s">
        <v>34</v>
      </c>
      <c r="C130" s="1">
        <v>20</v>
      </c>
      <c r="D130" t="s">
        <v>73</v>
      </c>
    </row>
    <row r="131" spans="1:4" x14ac:dyDescent="0.25">
      <c r="A131" s="2">
        <v>43544</v>
      </c>
      <c r="B131" t="s">
        <v>35</v>
      </c>
      <c r="C131" s="1">
        <v>18.13</v>
      </c>
      <c r="D131" t="s">
        <v>73</v>
      </c>
    </row>
    <row r="132" spans="1:4" x14ac:dyDescent="0.25">
      <c r="A132" s="2">
        <v>43557</v>
      </c>
      <c r="B132" t="s">
        <v>36</v>
      </c>
      <c r="C132" s="1">
        <v>50</v>
      </c>
      <c r="D132" t="s">
        <v>73</v>
      </c>
    </row>
    <row r="133" spans="1:4" x14ac:dyDescent="0.25">
      <c r="A133" s="2">
        <v>43558</v>
      </c>
      <c r="B133" t="s">
        <v>39</v>
      </c>
      <c r="C133" s="1">
        <v>45</v>
      </c>
      <c r="D133" t="s">
        <v>73</v>
      </c>
    </row>
    <row r="134" spans="1:4" x14ac:dyDescent="0.25">
      <c r="A134" s="2">
        <v>43559</v>
      </c>
      <c r="B134" t="s">
        <v>40</v>
      </c>
      <c r="C134" s="1">
        <v>15</v>
      </c>
      <c r="D134" t="s">
        <v>73</v>
      </c>
    </row>
    <row r="135" spans="1:4" x14ac:dyDescent="0.25">
      <c r="A135" s="2">
        <v>43559</v>
      </c>
      <c r="B135" t="s">
        <v>6</v>
      </c>
      <c r="C135" s="1">
        <v>50</v>
      </c>
      <c r="D135" t="s">
        <v>73</v>
      </c>
    </row>
    <row r="136" spans="1:4" x14ac:dyDescent="0.25">
      <c r="A136" s="2">
        <v>43564</v>
      </c>
      <c r="B136" t="s">
        <v>39</v>
      </c>
      <c r="C136" s="1">
        <v>45</v>
      </c>
      <c r="D136" t="s">
        <v>73</v>
      </c>
    </row>
    <row r="137" spans="1:4" x14ac:dyDescent="0.25">
      <c r="A137" s="2">
        <v>43567</v>
      </c>
      <c r="B137" t="s">
        <v>39</v>
      </c>
      <c r="C137" s="1">
        <v>45</v>
      </c>
      <c r="D137" t="s">
        <v>73</v>
      </c>
    </row>
    <row r="138" spans="1:4" x14ac:dyDescent="0.25">
      <c r="A138" s="2">
        <v>43571</v>
      </c>
      <c r="B138" t="s">
        <v>39</v>
      </c>
      <c r="C138" s="1">
        <v>45</v>
      </c>
      <c r="D138" t="s">
        <v>73</v>
      </c>
    </row>
    <row r="139" spans="1:4" x14ac:dyDescent="0.25">
      <c r="A139" s="2">
        <v>43574</v>
      </c>
      <c r="B139" t="s">
        <v>39</v>
      </c>
      <c r="C139" s="1">
        <v>45</v>
      </c>
      <c r="D139" t="s">
        <v>73</v>
      </c>
    </row>
    <row r="140" spans="1:4" x14ac:dyDescent="0.25">
      <c r="A140" s="2">
        <v>43574</v>
      </c>
      <c r="B140" t="s">
        <v>39</v>
      </c>
      <c r="C140" s="1">
        <v>45</v>
      </c>
      <c r="D140" t="s">
        <v>73</v>
      </c>
    </row>
    <row r="141" spans="1:4" x14ac:dyDescent="0.25">
      <c r="A141" s="2">
        <v>43579</v>
      </c>
      <c r="B141" t="s">
        <v>22</v>
      </c>
      <c r="C141" s="1">
        <v>35</v>
      </c>
      <c r="D141" t="s">
        <v>73</v>
      </c>
    </row>
    <row r="142" spans="1:4" x14ac:dyDescent="0.25">
      <c r="A142" s="2">
        <v>43585</v>
      </c>
      <c r="B142" t="s">
        <v>39</v>
      </c>
      <c r="C142" s="1">
        <v>45</v>
      </c>
      <c r="D142" t="s">
        <v>73</v>
      </c>
    </row>
    <row r="143" spans="1:4" x14ac:dyDescent="0.25">
      <c r="A143" s="2">
        <v>43591</v>
      </c>
      <c r="B143" t="s">
        <v>48</v>
      </c>
      <c r="C143" s="1">
        <v>45</v>
      </c>
      <c r="D143" t="s">
        <v>73</v>
      </c>
    </row>
    <row r="144" spans="1:4" x14ac:dyDescent="0.25">
      <c r="A144" s="2">
        <v>43591</v>
      </c>
      <c r="B144" t="s">
        <v>42</v>
      </c>
      <c r="C144" s="1">
        <v>35</v>
      </c>
      <c r="D144" t="s">
        <v>73</v>
      </c>
    </row>
    <row r="145" spans="1:4" x14ac:dyDescent="0.25">
      <c r="A145" s="2">
        <v>43592</v>
      </c>
      <c r="B145" t="s">
        <v>35</v>
      </c>
      <c r="C145" s="1">
        <v>130.69</v>
      </c>
      <c r="D145" t="s">
        <v>73</v>
      </c>
    </row>
    <row r="146" spans="1:4" x14ac:dyDescent="0.25">
      <c r="A146" s="2">
        <v>43602</v>
      </c>
      <c r="B146" t="s">
        <v>35</v>
      </c>
      <c r="C146" s="1">
        <v>29.52</v>
      </c>
      <c r="D146" t="s">
        <v>73</v>
      </c>
    </row>
    <row r="147" spans="1:4" x14ac:dyDescent="0.25">
      <c r="A147" s="2">
        <v>43602</v>
      </c>
      <c r="B147" t="s">
        <v>47</v>
      </c>
      <c r="C147" s="1">
        <v>10.039999999999999</v>
      </c>
      <c r="D147" t="s">
        <v>73</v>
      </c>
    </row>
    <row r="148" spans="1:4" x14ac:dyDescent="0.25">
      <c r="A148" s="2">
        <v>43606</v>
      </c>
      <c r="B148" t="s">
        <v>48</v>
      </c>
      <c r="C148" s="1">
        <v>20</v>
      </c>
      <c r="D148" t="s">
        <v>73</v>
      </c>
    </row>
    <row r="149" spans="1:4" x14ac:dyDescent="0.25">
      <c r="A149" s="2">
        <v>43607</v>
      </c>
      <c r="B149" t="s">
        <v>22</v>
      </c>
      <c r="C149" s="1">
        <v>35</v>
      </c>
      <c r="D149" t="s">
        <v>73</v>
      </c>
    </row>
    <row r="150" spans="1:4" x14ac:dyDescent="0.25">
      <c r="A150" s="2">
        <v>43621</v>
      </c>
      <c r="B150" t="s">
        <v>6</v>
      </c>
      <c r="C150" s="1">
        <v>31</v>
      </c>
      <c r="D150" t="s">
        <v>73</v>
      </c>
    </row>
    <row r="151" spans="1:4" x14ac:dyDescent="0.25">
      <c r="A151" s="2">
        <v>43622</v>
      </c>
      <c r="B151" t="s">
        <v>35</v>
      </c>
      <c r="C151" s="1">
        <v>5.72</v>
      </c>
      <c r="D151" t="s">
        <v>73</v>
      </c>
    </row>
    <row r="152" spans="1:4" x14ac:dyDescent="0.25">
      <c r="A152" s="2">
        <v>43626</v>
      </c>
      <c r="B152" t="s">
        <v>47</v>
      </c>
      <c r="C152" s="1">
        <v>85.72</v>
      </c>
      <c r="D152" t="s">
        <v>73</v>
      </c>
    </row>
    <row r="153" spans="1:4" x14ac:dyDescent="0.25">
      <c r="A153" s="2">
        <v>43629</v>
      </c>
      <c r="B153" t="s">
        <v>6</v>
      </c>
      <c r="C153" s="1">
        <v>60</v>
      </c>
      <c r="D153" t="s">
        <v>73</v>
      </c>
    </row>
    <row r="154" spans="1:4" x14ac:dyDescent="0.25">
      <c r="A154" s="2">
        <v>43630</v>
      </c>
      <c r="B154" t="s">
        <v>42</v>
      </c>
      <c r="C154" s="1">
        <v>25</v>
      </c>
      <c r="D154" t="s">
        <v>73</v>
      </c>
    </row>
    <row r="155" spans="1:4" x14ac:dyDescent="0.25">
      <c r="A155" s="2">
        <v>43635</v>
      </c>
      <c r="B155" t="s">
        <v>35</v>
      </c>
      <c r="C155" s="1">
        <v>35.76</v>
      </c>
      <c r="D155" t="s">
        <v>73</v>
      </c>
    </row>
    <row r="156" spans="1:4" x14ac:dyDescent="0.25">
      <c r="A156" s="2">
        <v>43636</v>
      </c>
      <c r="B156" t="s">
        <v>48</v>
      </c>
      <c r="C156" s="1">
        <v>20</v>
      </c>
      <c r="D156" t="s">
        <v>73</v>
      </c>
    </row>
    <row r="157" spans="1:4" x14ac:dyDescent="0.25">
      <c r="A157" s="2">
        <v>43637</v>
      </c>
      <c r="B157" t="s">
        <v>54</v>
      </c>
      <c r="C157" s="1">
        <v>50</v>
      </c>
      <c r="D157" t="s">
        <v>73</v>
      </c>
    </row>
    <row r="158" spans="1:4" x14ac:dyDescent="0.25">
      <c r="A158" s="2">
        <v>43644</v>
      </c>
      <c r="B158" t="s">
        <v>47</v>
      </c>
      <c r="C158" s="1">
        <v>75</v>
      </c>
      <c r="D158" t="s">
        <v>73</v>
      </c>
    </row>
    <row r="159" spans="1:4" x14ac:dyDescent="0.25">
      <c r="A159" s="2">
        <v>43644</v>
      </c>
      <c r="B159" t="s">
        <v>55</v>
      </c>
      <c r="C159" s="1">
        <v>45.95</v>
      </c>
      <c r="D159" t="s">
        <v>73</v>
      </c>
    </row>
    <row r="160" spans="1:4" x14ac:dyDescent="0.25">
      <c r="A160" s="2">
        <v>43648</v>
      </c>
      <c r="B160" t="s">
        <v>56</v>
      </c>
      <c r="C160" s="1">
        <v>50</v>
      </c>
      <c r="D160" t="s">
        <v>73</v>
      </c>
    </row>
    <row r="161" spans="1:4" x14ac:dyDescent="0.25">
      <c r="A161" s="2">
        <v>43648</v>
      </c>
      <c r="B161" t="s">
        <v>6</v>
      </c>
      <c r="C161" s="1">
        <v>50</v>
      </c>
      <c r="D161" t="s">
        <v>73</v>
      </c>
    </row>
    <row r="162" spans="1:4" x14ac:dyDescent="0.25">
      <c r="A162" s="2">
        <v>43649</v>
      </c>
      <c r="B162" t="s">
        <v>47</v>
      </c>
      <c r="C162" s="1">
        <v>33.5</v>
      </c>
      <c r="D162" t="s">
        <v>73</v>
      </c>
    </row>
    <row r="163" spans="1:4" x14ac:dyDescent="0.25">
      <c r="A163" s="2">
        <v>43649</v>
      </c>
      <c r="B163" t="s">
        <v>35</v>
      </c>
      <c r="C163" s="1">
        <v>8.1</v>
      </c>
      <c r="D163" t="s">
        <v>73</v>
      </c>
    </row>
    <row r="164" spans="1:4" x14ac:dyDescent="0.25">
      <c r="A164" s="2">
        <v>43651</v>
      </c>
      <c r="B164" t="s">
        <v>42</v>
      </c>
      <c r="C164" s="1">
        <v>30</v>
      </c>
      <c r="D164" t="s">
        <v>73</v>
      </c>
    </row>
    <row r="165" spans="1:4" x14ac:dyDescent="0.25">
      <c r="A165" s="2">
        <v>43663</v>
      </c>
      <c r="B165" t="s">
        <v>6</v>
      </c>
      <c r="C165" s="1">
        <v>60</v>
      </c>
      <c r="D165" t="s">
        <v>73</v>
      </c>
    </row>
    <row r="166" spans="1:4" x14ac:dyDescent="0.25">
      <c r="A166" s="2">
        <v>43663</v>
      </c>
      <c r="B166" t="s">
        <v>48</v>
      </c>
      <c r="C166" s="1">
        <v>20</v>
      </c>
      <c r="D166" t="s">
        <v>73</v>
      </c>
    </row>
    <row r="167" spans="1:4" x14ac:dyDescent="0.25">
      <c r="A167" s="2">
        <v>43665</v>
      </c>
      <c r="B167" t="s">
        <v>57</v>
      </c>
      <c r="C167" s="1">
        <v>50</v>
      </c>
      <c r="D167" t="s">
        <v>73</v>
      </c>
    </row>
    <row r="168" spans="1:4" x14ac:dyDescent="0.25">
      <c r="A168" s="2">
        <v>43665</v>
      </c>
      <c r="B168" t="s">
        <v>35</v>
      </c>
      <c r="C168" s="1">
        <v>18.600000000000001</v>
      </c>
      <c r="D168" t="s">
        <v>73</v>
      </c>
    </row>
    <row r="169" spans="1:4" x14ac:dyDescent="0.25">
      <c r="A169" s="2">
        <v>43677</v>
      </c>
      <c r="B169" t="s">
        <v>48</v>
      </c>
      <c r="C169" s="1">
        <v>175</v>
      </c>
      <c r="D169" t="s">
        <v>73</v>
      </c>
    </row>
    <row r="170" spans="1:4" x14ac:dyDescent="0.25">
      <c r="A170" s="2">
        <v>43678</v>
      </c>
      <c r="B170" t="s">
        <v>48</v>
      </c>
      <c r="C170" s="1">
        <v>45</v>
      </c>
      <c r="D170" t="s">
        <v>73</v>
      </c>
    </row>
    <row r="171" spans="1:4" x14ac:dyDescent="0.25">
      <c r="A171" s="2">
        <v>43686</v>
      </c>
      <c r="B171" t="s">
        <v>56</v>
      </c>
      <c r="C171" s="1">
        <v>130</v>
      </c>
      <c r="D171" t="s">
        <v>73</v>
      </c>
    </row>
    <row r="172" spans="1:4" x14ac:dyDescent="0.25">
      <c r="A172" s="2">
        <v>43686</v>
      </c>
      <c r="B172" t="s">
        <v>35</v>
      </c>
      <c r="C172" s="1">
        <v>10</v>
      </c>
      <c r="D172" t="s">
        <v>73</v>
      </c>
    </row>
    <row r="173" spans="1:4" x14ac:dyDescent="0.25">
      <c r="A173" s="2">
        <v>43686</v>
      </c>
      <c r="B173" t="s">
        <v>35</v>
      </c>
      <c r="C173" s="1">
        <v>28.41</v>
      </c>
      <c r="D173" t="s">
        <v>73</v>
      </c>
    </row>
    <row r="174" spans="1:4" x14ac:dyDescent="0.25">
      <c r="A174" s="2">
        <v>43691</v>
      </c>
      <c r="B174" t="s">
        <v>42</v>
      </c>
      <c r="C174" s="1">
        <v>30</v>
      </c>
      <c r="D174" t="s">
        <v>73</v>
      </c>
    </row>
    <row r="175" spans="1:4" x14ac:dyDescent="0.25">
      <c r="A175" s="2">
        <v>43692</v>
      </c>
      <c r="B175" t="s">
        <v>48</v>
      </c>
      <c r="C175" s="1">
        <v>140</v>
      </c>
      <c r="D175" t="s">
        <v>73</v>
      </c>
    </row>
    <row r="176" spans="1:4" x14ac:dyDescent="0.25">
      <c r="A176" s="2">
        <v>43693</v>
      </c>
      <c r="B176" t="s">
        <v>6</v>
      </c>
      <c r="C176" s="1">
        <v>57</v>
      </c>
      <c r="D176" t="s">
        <v>73</v>
      </c>
    </row>
    <row r="177" spans="1:4" x14ac:dyDescent="0.25">
      <c r="A177" s="2">
        <v>43704</v>
      </c>
      <c r="B177" t="s">
        <v>47</v>
      </c>
      <c r="C177" s="1">
        <v>10.039999999999999</v>
      </c>
      <c r="D177" t="s">
        <v>73</v>
      </c>
    </row>
    <row r="178" spans="1:4" x14ac:dyDescent="0.25">
      <c r="A178" s="2">
        <v>43713</v>
      </c>
      <c r="B178" t="s">
        <v>35</v>
      </c>
      <c r="C178" s="1">
        <v>119.7</v>
      </c>
      <c r="D178" t="s">
        <v>73</v>
      </c>
    </row>
    <row r="179" spans="1:4" x14ac:dyDescent="0.25">
      <c r="A179" s="2">
        <v>43718</v>
      </c>
      <c r="B179" t="s">
        <v>31</v>
      </c>
      <c r="C179" s="1">
        <v>30</v>
      </c>
      <c r="D179" t="s">
        <v>73</v>
      </c>
    </row>
    <row r="180" spans="1:4" x14ac:dyDescent="0.25">
      <c r="A180" s="2">
        <v>43720</v>
      </c>
      <c r="B180" t="s">
        <v>6</v>
      </c>
      <c r="C180" s="1">
        <v>75</v>
      </c>
      <c r="D180" t="s">
        <v>73</v>
      </c>
    </row>
    <row r="181" spans="1:4" x14ac:dyDescent="0.25">
      <c r="A181" s="2">
        <v>43720</v>
      </c>
      <c r="B181" t="s">
        <v>25</v>
      </c>
      <c r="C181" s="1">
        <v>50</v>
      </c>
      <c r="D181" t="s">
        <v>73</v>
      </c>
    </row>
    <row r="182" spans="1:4" x14ac:dyDescent="0.25">
      <c r="A182" s="2">
        <v>43724</v>
      </c>
      <c r="B182" t="s">
        <v>6</v>
      </c>
      <c r="C182" s="1">
        <v>75</v>
      </c>
      <c r="D182" t="s">
        <v>73</v>
      </c>
    </row>
    <row r="183" spans="1:4" x14ac:dyDescent="0.25">
      <c r="A183" s="2">
        <v>43726</v>
      </c>
      <c r="B183" t="s">
        <v>42</v>
      </c>
      <c r="C183" s="1">
        <v>30</v>
      </c>
      <c r="D183" t="s">
        <v>73</v>
      </c>
    </row>
    <row r="184" spans="1:4" x14ac:dyDescent="0.25">
      <c r="A184" s="2">
        <v>43728</v>
      </c>
      <c r="B184" t="s">
        <v>48</v>
      </c>
      <c r="C184" s="1">
        <v>100</v>
      </c>
      <c r="D184" t="s">
        <v>73</v>
      </c>
    </row>
    <row r="185" spans="1:4" x14ac:dyDescent="0.25">
      <c r="A185" s="2">
        <v>43728</v>
      </c>
      <c r="B185" t="s">
        <v>35</v>
      </c>
      <c r="C185" s="1">
        <v>24.93</v>
      </c>
      <c r="D185" t="s">
        <v>73</v>
      </c>
    </row>
    <row r="186" spans="1:4" x14ac:dyDescent="0.25">
      <c r="A186" s="2">
        <v>43738</v>
      </c>
      <c r="B186" t="s">
        <v>22</v>
      </c>
      <c r="C186" s="1">
        <v>212.5</v>
      </c>
      <c r="D186" t="s">
        <v>73</v>
      </c>
    </row>
    <row r="187" spans="1:4" x14ac:dyDescent="0.25">
      <c r="A187" s="2">
        <v>43742</v>
      </c>
      <c r="B187" t="s">
        <v>25</v>
      </c>
      <c r="C187" s="1">
        <v>50</v>
      </c>
      <c r="D187" t="s">
        <v>73</v>
      </c>
    </row>
    <row r="188" spans="1:4" x14ac:dyDescent="0.25">
      <c r="A188" s="2">
        <v>43745</v>
      </c>
      <c r="B188" t="s">
        <v>64</v>
      </c>
      <c r="C188" s="1">
        <v>50</v>
      </c>
      <c r="D188" t="s">
        <v>73</v>
      </c>
    </row>
    <row r="189" spans="1:4" x14ac:dyDescent="0.25">
      <c r="A189" s="2">
        <v>43754</v>
      </c>
      <c r="B189" t="s">
        <v>47</v>
      </c>
      <c r="C189" s="1">
        <v>30</v>
      </c>
      <c r="D189" t="s">
        <v>73</v>
      </c>
    </row>
    <row r="190" spans="1:4" x14ac:dyDescent="0.25">
      <c r="A190" s="2">
        <v>43755</v>
      </c>
      <c r="B190" t="s">
        <v>47</v>
      </c>
      <c r="C190" s="1">
        <v>20</v>
      </c>
      <c r="D190" t="s">
        <v>73</v>
      </c>
    </row>
    <row r="191" spans="1:4" x14ac:dyDescent="0.25">
      <c r="A191" s="2">
        <v>43756</v>
      </c>
      <c r="B191" t="s">
        <v>64</v>
      </c>
      <c r="C191" s="1">
        <v>50</v>
      </c>
      <c r="D191" t="s">
        <v>73</v>
      </c>
    </row>
    <row r="192" spans="1:4" x14ac:dyDescent="0.25">
      <c r="A192" s="2">
        <v>43760</v>
      </c>
      <c r="B192" t="s">
        <v>47</v>
      </c>
      <c r="C192" s="1">
        <v>30</v>
      </c>
      <c r="D192" t="s">
        <v>73</v>
      </c>
    </row>
    <row r="193" spans="1:4" x14ac:dyDescent="0.25">
      <c r="A193" s="2">
        <v>43762</v>
      </c>
      <c r="B193" t="s">
        <v>64</v>
      </c>
      <c r="C193" s="1">
        <v>50</v>
      </c>
      <c r="D193" t="s">
        <v>73</v>
      </c>
    </row>
    <row r="194" spans="1:4" x14ac:dyDescent="0.25">
      <c r="A194" s="2">
        <v>43767</v>
      </c>
      <c r="B194" t="s">
        <v>6</v>
      </c>
      <c r="C194" s="1">
        <v>118</v>
      </c>
      <c r="D194" t="s">
        <v>73</v>
      </c>
    </row>
    <row r="195" spans="1:4" x14ac:dyDescent="0.25">
      <c r="A195" s="2">
        <v>43775</v>
      </c>
      <c r="B195" t="s">
        <v>64</v>
      </c>
      <c r="C195" s="1">
        <v>50</v>
      </c>
      <c r="D195" t="s">
        <v>73</v>
      </c>
    </row>
    <row r="196" spans="1:4" x14ac:dyDescent="0.25">
      <c r="A196" s="2">
        <v>43777</v>
      </c>
      <c r="B196" t="s">
        <v>32</v>
      </c>
      <c r="C196" s="1">
        <v>30</v>
      </c>
      <c r="D196" t="s">
        <v>73</v>
      </c>
    </row>
    <row r="197" spans="1:4" x14ac:dyDescent="0.25">
      <c r="A197" s="2">
        <v>43787</v>
      </c>
      <c r="B197" t="s">
        <v>64</v>
      </c>
      <c r="C197" s="1">
        <v>50</v>
      </c>
      <c r="D197" t="s">
        <v>73</v>
      </c>
    </row>
    <row r="198" spans="1:4" x14ac:dyDescent="0.25">
      <c r="A198" s="2">
        <v>43790</v>
      </c>
      <c r="B198" t="s">
        <v>47</v>
      </c>
      <c r="C198" s="1">
        <v>80</v>
      </c>
      <c r="D198" t="s">
        <v>73</v>
      </c>
    </row>
    <row r="199" spans="1:4" x14ac:dyDescent="0.25">
      <c r="A199" s="2">
        <v>43791</v>
      </c>
      <c r="B199" t="s">
        <v>67</v>
      </c>
      <c r="C199" s="1">
        <v>25</v>
      </c>
      <c r="D199" t="s">
        <v>73</v>
      </c>
    </row>
    <row r="200" spans="1:4" x14ac:dyDescent="0.25">
      <c r="A200" s="2">
        <v>43791</v>
      </c>
      <c r="B200" t="s">
        <v>64</v>
      </c>
      <c r="C200" s="1">
        <v>25</v>
      </c>
      <c r="D200" t="s">
        <v>73</v>
      </c>
    </row>
    <row r="201" spans="1:4" x14ac:dyDescent="0.25">
      <c r="A201" s="2">
        <v>43794</v>
      </c>
      <c r="B201" t="s">
        <v>64</v>
      </c>
      <c r="C201" s="1">
        <v>50</v>
      </c>
      <c r="D201" t="s">
        <v>73</v>
      </c>
    </row>
    <row r="202" spans="1:4" x14ac:dyDescent="0.25">
      <c r="A202" s="2">
        <v>43801</v>
      </c>
      <c r="B202" t="s">
        <v>47</v>
      </c>
      <c r="C202" s="1">
        <v>60</v>
      </c>
      <c r="D202" t="s">
        <v>73</v>
      </c>
    </row>
    <row r="203" spans="1:4" x14ac:dyDescent="0.25">
      <c r="A203" s="2">
        <v>44196</v>
      </c>
      <c r="B203" t="s">
        <v>68</v>
      </c>
      <c r="C203" s="1">
        <v>50</v>
      </c>
      <c r="D203" t="s">
        <v>73</v>
      </c>
    </row>
    <row r="204" spans="1:4" x14ac:dyDescent="0.25">
      <c r="A204" s="2">
        <v>44169</v>
      </c>
      <c r="B204" t="s">
        <v>56</v>
      </c>
      <c r="C204" s="1">
        <f>899.28-20-50-130</f>
        <v>699.28</v>
      </c>
      <c r="D204" t="s">
        <v>73</v>
      </c>
    </row>
    <row r="205" spans="1:4" x14ac:dyDescent="0.25">
      <c r="A205" s="2">
        <v>43469</v>
      </c>
      <c r="B205" t="s">
        <v>42</v>
      </c>
      <c r="C205" s="1">
        <v>30</v>
      </c>
      <c r="D205" t="s">
        <v>73</v>
      </c>
    </row>
    <row r="206" spans="1:4" x14ac:dyDescent="0.25">
      <c r="A206" s="2">
        <v>43473</v>
      </c>
      <c r="B206" t="s">
        <v>35</v>
      </c>
      <c r="C206" s="6">
        <v>109.08</v>
      </c>
      <c r="D206" t="s">
        <v>73</v>
      </c>
    </row>
    <row r="207" spans="1:4" x14ac:dyDescent="0.25">
      <c r="A207" s="2">
        <v>43479</v>
      </c>
      <c r="B207" t="s">
        <v>35</v>
      </c>
      <c r="C207" s="1">
        <v>20.78</v>
      </c>
      <c r="D207" t="s">
        <v>73</v>
      </c>
    </row>
    <row r="208" spans="1:4" x14ac:dyDescent="0.25">
      <c r="A208" s="2">
        <v>43482</v>
      </c>
      <c r="B208" t="s">
        <v>47</v>
      </c>
      <c r="C208" s="3">
        <v>45</v>
      </c>
      <c r="D208" t="s">
        <v>73</v>
      </c>
    </row>
    <row r="209" spans="1:4" x14ac:dyDescent="0.25">
      <c r="A209" s="2">
        <v>43483</v>
      </c>
      <c r="B209" t="s">
        <v>35</v>
      </c>
      <c r="C209" s="1">
        <v>24</v>
      </c>
      <c r="D209" t="s">
        <v>73</v>
      </c>
    </row>
    <row r="210" spans="1:4" x14ac:dyDescent="0.25">
      <c r="A210" s="2">
        <v>43503</v>
      </c>
      <c r="B210" t="s">
        <v>39</v>
      </c>
      <c r="C210" s="1">
        <v>20</v>
      </c>
      <c r="D210" t="s">
        <v>73</v>
      </c>
    </row>
    <row r="211" spans="1:4" x14ac:dyDescent="0.25">
      <c r="A211" s="2">
        <v>43504</v>
      </c>
      <c r="B211" t="s">
        <v>35</v>
      </c>
      <c r="C211" s="1">
        <v>10</v>
      </c>
      <c r="D211" t="s">
        <v>73</v>
      </c>
    </row>
    <row r="212" spans="1:4" x14ac:dyDescent="0.25">
      <c r="A212" s="2">
        <v>43535</v>
      </c>
      <c r="B212" t="s">
        <v>42</v>
      </c>
      <c r="C212" s="1">
        <v>30</v>
      </c>
      <c r="D212" t="s">
        <v>73</v>
      </c>
    </row>
    <row r="213" spans="1:4" x14ac:dyDescent="0.25">
      <c r="A213" s="2">
        <v>43550</v>
      </c>
      <c r="B213" t="s">
        <v>47</v>
      </c>
      <c r="C213" s="1">
        <v>20</v>
      </c>
      <c r="D213" t="s">
        <v>73</v>
      </c>
    </row>
    <row r="214" spans="1:4" x14ac:dyDescent="0.25">
      <c r="C214" s="1">
        <f>SUM(C102:C213)</f>
        <v>5746.3199999999988</v>
      </c>
    </row>
    <row r="218" spans="1:4" x14ac:dyDescent="0.25">
      <c r="A218" s="2">
        <v>43559</v>
      </c>
      <c r="B218" t="s">
        <v>3</v>
      </c>
      <c r="C218" s="1">
        <v>14.24</v>
      </c>
      <c r="D218" t="s">
        <v>71</v>
      </c>
    </row>
    <row r="219" spans="1:4" x14ac:dyDescent="0.25">
      <c r="A219" s="2">
        <v>43567</v>
      </c>
      <c r="B219" t="s">
        <v>5</v>
      </c>
      <c r="C219" s="1">
        <v>11.61</v>
      </c>
      <c r="D219" t="s">
        <v>71</v>
      </c>
    </row>
    <row r="220" spans="1:4" x14ac:dyDescent="0.25">
      <c r="A220" s="2">
        <v>43567</v>
      </c>
      <c r="B220" t="s">
        <v>8</v>
      </c>
      <c r="C220" s="1">
        <v>45</v>
      </c>
      <c r="D220" t="s">
        <v>71</v>
      </c>
    </row>
    <row r="221" spans="1:4" x14ac:dyDescent="0.25">
      <c r="A221" s="2">
        <v>43587</v>
      </c>
      <c r="B221" t="s">
        <v>11</v>
      </c>
      <c r="C221" s="1">
        <v>59.99</v>
      </c>
      <c r="D221" t="s">
        <v>71</v>
      </c>
    </row>
    <row r="222" spans="1:4" x14ac:dyDescent="0.25">
      <c r="A222" s="2">
        <v>43602</v>
      </c>
      <c r="B222" t="s">
        <v>12</v>
      </c>
      <c r="C222" s="1">
        <v>17.25</v>
      </c>
      <c r="D222" t="s">
        <v>71</v>
      </c>
    </row>
    <row r="223" spans="1:4" x14ac:dyDescent="0.25">
      <c r="A223" s="2">
        <v>43609</v>
      </c>
      <c r="B223" t="s">
        <v>20</v>
      </c>
      <c r="C223" s="1">
        <v>30.58</v>
      </c>
      <c r="D223" t="s">
        <v>71</v>
      </c>
    </row>
    <row r="224" spans="1:4" x14ac:dyDescent="0.25">
      <c r="A224" s="2">
        <v>43613</v>
      </c>
      <c r="B224" t="s">
        <v>21</v>
      </c>
      <c r="C224" s="1">
        <v>16.96</v>
      </c>
      <c r="D224" t="s">
        <v>71</v>
      </c>
    </row>
    <row r="225" spans="1:4" x14ac:dyDescent="0.25">
      <c r="A225" s="2">
        <v>43620</v>
      </c>
      <c r="B225" t="s">
        <v>8</v>
      </c>
      <c r="C225" s="1">
        <v>32</v>
      </c>
      <c r="D225" t="s">
        <v>71</v>
      </c>
    </row>
    <row r="226" spans="1:4" x14ac:dyDescent="0.25">
      <c r="A226" s="2">
        <v>43630</v>
      </c>
      <c r="B226" t="s">
        <v>8</v>
      </c>
      <c r="C226" s="1">
        <v>45</v>
      </c>
      <c r="D226" t="s">
        <v>71</v>
      </c>
    </row>
    <row r="227" spans="1:4" x14ac:dyDescent="0.25">
      <c r="A227" s="2">
        <v>43637</v>
      </c>
      <c r="B227" t="s">
        <v>8</v>
      </c>
      <c r="C227" s="1">
        <v>33</v>
      </c>
      <c r="D227" t="s">
        <v>71</v>
      </c>
    </row>
    <row r="228" spans="1:4" x14ac:dyDescent="0.25">
      <c r="A228" s="2">
        <v>43662</v>
      </c>
      <c r="B228" t="s">
        <v>21</v>
      </c>
      <c r="C228" s="1">
        <v>11.49</v>
      </c>
      <c r="D228" t="s">
        <v>71</v>
      </c>
    </row>
    <row r="229" spans="1:4" x14ac:dyDescent="0.25">
      <c r="A229" s="2">
        <v>43668</v>
      </c>
      <c r="B229" t="s">
        <v>41</v>
      </c>
      <c r="C229" s="1">
        <v>27.14</v>
      </c>
      <c r="D229" t="s">
        <v>71</v>
      </c>
    </row>
    <row r="230" spans="1:4" x14ac:dyDescent="0.25">
      <c r="A230" s="2">
        <v>43693</v>
      </c>
      <c r="B230" t="s">
        <v>21</v>
      </c>
      <c r="C230" s="1">
        <v>14.35</v>
      </c>
      <c r="D230" t="s">
        <v>71</v>
      </c>
    </row>
    <row r="231" spans="1:4" x14ac:dyDescent="0.25">
      <c r="A231" s="2">
        <v>43732</v>
      </c>
      <c r="B231" t="s">
        <v>21</v>
      </c>
      <c r="C231" s="1">
        <v>15.98</v>
      </c>
      <c r="D231" t="s">
        <v>71</v>
      </c>
    </row>
    <row r="232" spans="1:4" x14ac:dyDescent="0.25">
      <c r="A232" s="2">
        <v>43753</v>
      </c>
      <c r="B232" t="s">
        <v>21</v>
      </c>
      <c r="C232" s="1">
        <v>29.12</v>
      </c>
      <c r="D232" t="s">
        <v>71</v>
      </c>
    </row>
    <row r="233" spans="1:4" x14ac:dyDescent="0.25">
      <c r="A233" s="2">
        <v>43794</v>
      </c>
      <c r="B233" t="s">
        <v>8</v>
      </c>
      <c r="C233" s="1">
        <v>162.37</v>
      </c>
      <c r="D233" t="s">
        <v>71</v>
      </c>
    </row>
    <row r="234" spans="1:4" x14ac:dyDescent="0.25">
      <c r="A234" s="2">
        <v>43570</v>
      </c>
      <c r="B234" t="s">
        <v>53</v>
      </c>
      <c r="C234" s="1">
        <v>44.1</v>
      </c>
      <c r="D234" t="s">
        <v>71</v>
      </c>
    </row>
    <row r="235" spans="1:4" x14ac:dyDescent="0.25">
      <c r="A235" s="2">
        <v>43480</v>
      </c>
      <c r="B235" t="s">
        <v>21</v>
      </c>
      <c r="C235" s="1">
        <v>15.98</v>
      </c>
      <c r="D235" t="s">
        <v>71</v>
      </c>
    </row>
    <row r="236" spans="1:4" x14ac:dyDescent="0.25">
      <c r="A236" s="2">
        <v>43515</v>
      </c>
      <c r="B236" t="s">
        <v>21</v>
      </c>
      <c r="C236" s="1">
        <v>14.46</v>
      </c>
      <c r="D236" t="s">
        <v>71</v>
      </c>
    </row>
    <row r="237" spans="1:4" x14ac:dyDescent="0.25">
      <c r="A237" s="2">
        <v>43528</v>
      </c>
      <c r="B237" t="s">
        <v>5</v>
      </c>
      <c r="C237" s="1">
        <v>14.61</v>
      </c>
      <c r="D237" t="s">
        <v>71</v>
      </c>
    </row>
    <row r="238" spans="1:4" x14ac:dyDescent="0.25">
      <c r="A238" s="2">
        <v>43536</v>
      </c>
      <c r="B238" t="s">
        <v>21</v>
      </c>
      <c r="C238" s="1">
        <v>11.82</v>
      </c>
      <c r="D238" t="s">
        <v>71</v>
      </c>
    </row>
    <row r="239" spans="1:4" x14ac:dyDescent="0.25">
      <c r="A239" s="2">
        <v>43571</v>
      </c>
      <c r="B239" t="s">
        <v>21</v>
      </c>
      <c r="C239" s="1">
        <v>14.85</v>
      </c>
      <c r="D239" t="s">
        <v>71</v>
      </c>
    </row>
    <row r="240" spans="1:4" x14ac:dyDescent="0.25">
      <c r="A240" s="2">
        <v>43579</v>
      </c>
      <c r="B240" t="s">
        <v>21</v>
      </c>
      <c r="C240" s="1">
        <v>14.24</v>
      </c>
      <c r="D240" t="s">
        <v>71</v>
      </c>
    </row>
    <row r="241" spans="1:4" x14ac:dyDescent="0.25">
      <c r="A241" s="2">
        <v>43592</v>
      </c>
      <c r="B241" t="s">
        <v>65</v>
      </c>
      <c r="C241" s="1">
        <v>12.3</v>
      </c>
      <c r="D241" t="s">
        <v>71</v>
      </c>
    </row>
    <row r="242" spans="1:4" x14ac:dyDescent="0.25">
      <c r="A242" s="2">
        <v>43595</v>
      </c>
      <c r="B242" t="s">
        <v>21</v>
      </c>
      <c r="C242" s="1">
        <v>10.94</v>
      </c>
      <c r="D242" t="s">
        <v>71</v>
      </c>
    </row>
    <row r="243" spans="1:4" x14ac:dyDescent="0.25">
      <c r="A243" s="2">
        <v>43613</v>
      </c>
      <c r="B243" t="s">
        <v>99</v>
      </c>
      <c r="C243" s="1">
        <v>14.46</v>
      </c>
      <c r="D243" t="s">
        <v>71</v>
      </c>
    </row>
    <row r="244" spans="1:4" x14ac:dyDescent="0.25">
      <c r="C244" s="1">
        <f>SUM(C218:C243)</f>
        <v>733.84000000000026</v>
      </c>
    </row>
    <row r="248" spans="1:4" x14ac:dyDescent="0.25">
      <c r="A248" s="2">
        <v>43616</v>
      </c>
      <c r="B248" t="s">
        <v>46</v>
      </c>
      <c r="C248" s="3">
        <v>387</v>
      </c>
      <c r="D248" t="s">
        <v>77</v>
      </c>
    </row>
    <row r="249" spans="1:4" x14ac:dyDescent="0.25">
      <c r="C249" s="3"/>
    </row>
    <row r="250" spans="1:4" x14ac:dyDescent="0.25">
      <c r="C250" s="3"/>
    </row>
    <row r="251" spans="1:4" x14ac:dyDescent="0.25">
      <c r="C251" s="3"/>
    </row>
    <row r="252" spans="1:4" x14ac:dyDescent="0.25">
      <c r="A252" s="2">
        <v>43627</v>
      </c>
      <c r="B252" t="s">
        <v>7</v>
      </c>
      <c r="C252" s="1">
        <v>320.45999999999998</v>
      </c>
      <c r="D252" t="s">
        <v>74</v>
      </c>
    </row>
    <row r="253" spans="1:4" x14ac:dyDescent="0.25">
      <c r="A253" s="2">
        <v>43630</v>
      </c>
      <c r="B253" t="s">
        <v>17</v>
      </c>
      <c r="C253" s="1">
        <v>605</v>
      </c>
      <c r="D253" t="s">
        <v>74</v>
      </c>
    </row>
    <row r="254" spans="1:4" x14ac:dyDescent="0.25">
      <c r="A254" s="2">
        <v>43649</v>
      </c>
      <c r="B254" t="s">
        <v>17</v>
      </c>
      <c r="C254" s="1">
        <v>279.31</v>
      </c>
      <c r="D254" t="s">
        <v>74</v>
      </c>
    </row>
    <row r="255" spans="1:4" x14ac:dyDescent="0.25">
      <c r="A255" s="2">
        <v>43655</v>
      </c>
      <c r="B255" t="s">
        <v>17</v>
      </c>
      <c r="C255" s="1">
        <v>182.73</v>
      </c>
      <c r="D255" t="s">
        <v>74</v>
      </c>
    </row>
    <row r="256" spans="1:4" x14ac:dyDescent="0.25">
      <c r="A256" s="2" t="s">
        <v>92</v>
      </c>
      <c r="B256" t="s">
        <v>17</v>
      </c>
      <c r="C256" s="1">
        <v>192.21</v>
      </c>
      <c r="D256" t="s">
        <v>74</v>
      </c>
    </row>
    <row r="257" spans="1:5" x14ac:dyDescent="0.25">
      <c r="A257" s="2">
        <v>43683</v>
      </c>
      <c r="B257" t="s">
        <v>9</v>
      </c>
      <c r="C257" s="1">
        <v>247.68</v>
      </c>
      <c r="D257" t="s">
        <v>74</v>
      </c>
    </row>
    <row r="258" spans="1:5" x14ac:dyDescent="0.25">
      <c r="A258" s="2" t="s">
        <v>93</v>
      </c>
      <c r="B258" t="s">
        <v>9</v>
      </c>
      <c r="C258" s="1">
        <v>110.66</v>
      </c>
      <c r="D258" t="s">
        <v>74</v>
      </c>
    </row>
    <row r="259" spans="1:5" x14ac:dyDescent="0.25">
      <c r="A259" s="2">
        <v>43689</v>
      </c>
      <c r="B259" t="s">
        <v>30</v>
      </c>
      <c r="C259" s="1">
        <v>193.13</v>
      </c>
      <c r="D259" t="s">
        <v>74</v>
      </c>
    </row>
    <row r="260" spans="1:5" x14ac:dyDescent="0.25">
      <c r="A260" s="2">
        <v>43718</v>
      </c>
      <c r="B260" t="s">
        <v>17</v>
      </c>
      <c r="C260" s="1">
        <v>314.74</v>
      </c>
      <c r="D260" t="s">
        <v>74</v>
      </c>
    </row>
    <row r="261" spans="1:5" x14ac:dyDescent="0.25">
      <c r="A261" s="2">
        <v>43721</v>
      </c>
      <c r="B261" t="s">
        <v>9</v>
      </c>
      <c r="C261" s="1">
        <v>174.65</v>
      </c>
      <c r="D261" t="s">
        <v>74</v>
      </c>
      <c r="E261" s="1"/>
    </row>
    <row r="262" spans="1:5" x14ac:dyDescent="0.25">
      <c r="A262" s="2">
        <v>43724</v>
      </c>
      <c r="B262" t="s">
        <v>9</v>
      </c>
      <c r="C262" s="1">
        <v>19.95</v>
      </c>
      <c r="D262" t="s">
        <v>74</v>
      </c>
    </row>
    <row r="263" spans="1:5" x14ac:dyDescent="0.25">
      <c r="A263" s="2">
        <v>43748</v>
      </c>
      <c r="B263" t="s">
        <v>9</v>
      </c>
      <c r="C263" s="1">
        <v>19.95</v>
      </c>
      <c r="D263" t="s">
        <v>74</v>
      </c>
    </row>
    <row r="264" spans="1:5" x14ac:dyDescent="0.25">
      <c r="A264" s="2">
        <v>43752</v>
      </c>
      <c r="B264" t="s">
        <v>17</v>
      </c>
      <c r="C264" s="1">
        <v>227.24</v>
      </c>
      <c r="D264" t="s">
        <v>74</v>
      </c>
    </row>
    <row r="265" spans="1:5" x14ac:dyDescent="0.25">
      <c r="A265" s="2">
        <v>43753</v>
      </c>
      <c r="B265" t="s">
        <v>50</v>
      </c>
      <c r="C265" s="1">
        <v>187.33</v>
      </c>
      <c r="D265" t="s">
        <v>74</v>
      </c>
    </row>
    <row r="266" spans="1:5" x14ac:dyDescent="0.25">
      <c r="A266" s="2">
        <v>43760</v>
      </c>
      <c r="B266" t="s">
        <v>51</v>
      </c>
      <c r="C266" s="1">
        <v>198.89</v>
      </c>
      <c r="D266" t="s">
        <v>74</v>
      </c>
    </row>
    <row r="267" spans="1:5" x14ac:dyDescent="0.25">
      <c r="A267" s="2" t="s">
        <v>91</v>
      </c>
      <c r="B267" t="s">
        <v>17</v>
      </c>
      <c r="C267" s="1">
        <v>151.24</v>
      </c>
      <c r="D267" t="s">
        <v>74</v>
      </c>
    </row>
    <row r="268" spans="1:5" x14ac:dyDescent="0.25">
      <c r="A268" s="2">
        <v>44170</v>
      </c>
      <c r="B268" t="s">
        <v>51</v>
      </c>
      <c r="C268" s="1">
        <v>145.22999999999999</v>
      </c>
      <c r="D268" t="s">
        <v>74</v>
      </c>
    </row>
    <row r="269" spans="1:5" x14ac:dyDescent="0.25">
      <c r="A269" s="2">
        <v>44171</v>
      </c>
      <c r="B269" t="s">
        <v>50</v>
      </c>
      <c r="C269" s="1">
        <v>152.97999999999999</v>
      </c>
      <c r="D269" t="s">
        <v>74</v>
      </c>
    </row>
    <row r="270" spans="1:5" x14ac:dyDescent="0.25">
      <c r="A270" s="2">
        <v>44174</v>
      </c>
      <c r="B270" t="s">
        <v>17</v>
      </c>
      <c r="C270" s="1">
        <v>168.34</v>
      </c>
      <c r="D270" t="s">
        <v>74</v>
      </c>
    </row>
    <row r="271" spans="1:5" x14ac:dyDescent="0.25">
      <c r="A271" s="2">
        <v>44174</v>
      </c>
      <c r="B271" t="s">
        <v>50</v>
      </c>
      <c r="C271" s="1">
        <v>400</v>
      </c>
      <c r="D271" t="s">
        <v>74</v>
      </c>
    </row>
    <row r="272" spans="1:5" x14ac:dyDescent="0.25">
      <c r="A272" s="2">
        <v>44175</v>
      </c>
      <c r="B272" t="s">
        <v>17</v>
      </c>
      <c r="C272" s="1">
        <v>35.950000000000003</v>
      </c>
      <c r="D272" t="s">
        <v>74</v>
      </c>
    </row>
    <row r="273" spans="1:5" x14ac:dyDescent="0.25">
      <c r="A273" s="2">
        <v>44178</v>
      </c>
      <c r="B273" t="s">
        <v>17</v>
      </c>
      <c r="C273" s="1">
        <v>214.11</v>
      </c>
      <c r="D273" t="s">
        <v>74</v>
      </c>
    </row>
    <row r="274" spans="1:5" x14ac:dyDescent="0.25">
      <c r="A274" s="2">
        <v>44181</v>
      </c>
      <c r="B274" t="s">
        <v>17</v>
      </c>
      <c r="C274" s="1">
        <v>206.46</v>
      </c>
      <c r="D274" t="s">
        <v>74</v>
      </c>
    </row>
    <row r="275" spans="1:5" x14ac:dyDescent="0.25">
      <c r="A275" s="2">
        <v>44182</v>
      </c>
      <c r="B275" t="s">
        <v>17</v>
      </c>
      <c r="C275" s="1">
        <v>212.08</v>
      </c>
      <c r="D275" t="s">
        <v>74</v>
      </c>
      <c r="E275" s="1"/>
    </row>
    <row r="276" spans="1:5" x14ac:dyDescent="0.25">
      <c r="A276" s="2">
        <v>44182</v>
      </c>
      <c r="B276" t="s">
        <v>17</v>
      </c>
      <c r="C276" s="1">
        <v>208.16</v>
      </c>
      <c r="D276" t="s">
        <v>74</v>
      </c>
    </row>
    <row r="277" spans="1:5" x14ac:dyDescent="0.25">
      <c r="A277" s="2">
        <v>44183</v>
      </c>
      <c r="B277" t="s">
        <v>51</v>
      </c>
      <c r="C277" s="1">
        <v>133.12</v>
      </c>
      <c r="D277" t="s">
        <v>74</v>
      </c>
      <c r="E277" s="1"/>
    </row>
    <row r="278" spans="1:5" x14ac:dyDescent="0.25">
      <c r="A278" s="2">
        <v>44185</v>
      </c>
      <c r="B278" t="s">
        <v>17</v>
      </c>
      <c r="C278" s="1">
        <v>191.37</v>
      </c>
      <c r="D278" t="s">
        <v>74</v>
      </c>
      <c r="E278" s="1"/>
    </row>
    <row r="279" spans="1:5" x14ac:dyDescent="0.25">
      <c r="A279" s="2">
        <v>44188</v>
      </c>
      <c r="B279" t="s">
        <v>17</v>
      </c>
      <c r="C279" s="1">
        <v>213.8</v>
      </c>
      <c r="D279" t="s">
        <v>74</v>
      </c>
    </row>
    <row r="280" spans="1:5" x14ac:dyDescent="0.25">
      <c r="A280" s="2">
        <v>44188</v>
      </c>
      <c r="B280" t="s">
        <v>51</v>
      </c>
      <c r="C280" s="1">
        <v>140.47</v>
      </c>
      <c r="D280" t="s">
        <v>74</v>
      </c>
    </row>
    <row r="281" spans="1:5" x14ac:dyDescent="0.25">
      <c r="A281" s="2">
        <v>44191</v>
      </c>
      <c r="B281" t="s">
        <v>50</v>
      </c>
      <c r="C281" s="1">
        <v>192.71</v>
      </c>
      <c r="D281" t="s">
        <v>74</v>
      </c>
    </row>
    <row r="282" spans="1:5" x14ac:dyDescent="0.25">
      <c r="A282" s="2">
        <v>44192</v>
      </c>
      <c r="B282" t="s">
        <v>51</v>
      </c>
      <c r="C282" s="1">
        <v>285.73</v>
      </c>
      <c r="D282" t="s">
        <v>74</v>
      </c>
    </row>
    <row r="283" spans="1:5" x14ac:dyDescent="0.25">
      <c r="A283" s="2">
        <v>43744</v>
      </c>
      <c r="B283" t="s">
        <v>50</v>
      </c>
      <c r="C283" s="1">
        <v>87.6</v>
      </c>
      <c r="D283" t="s">
        <v>74</v>
      </c>
    </row>
    <row r="284" spans="1:5" x14ac:dyDescent="0.25">
      <c r="A284" s="2">
        <v>44173</v>
      </c>
      <c r="B284" t="s">
        <v>17</v>
      </c>
      <c r="C284" s="3">
        <v>169.64</v>
      </c>
      <c r="D284" t="s">
        <v>74</v>
      </c>
    </row>
    <row r="285" spans="1:5" x14ac:dyDescent="0.25">
      <c r="A285" s="2">
        <v>44180</v>
      </c>
      <c r="B285" t="s">
        <v>17</v>
      </c>
      <c r="C285" s="1">
        <v>153.74</v>
      </c>
      <c r="D285" t="s">
        <v>74</v>
      </c>
    </row>
    <row r="286" spans="1:5" x14ac:dyDescent="0.25">
      <c r="C286" s="1">
        <f>SUM(C252:C285)</f>
        <v>6736.6600000000008</v>
      </c>
    </row>
  </sheetData>
  <autoFilter ref="D1:D286"/>
  <sortState ref="A39:D99">
    <sortCondition ref="B2:B28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zoomScale="160" zoomScaleNormal="160" workbookViewId="0">
      <selection sqref="A1:B48"/>
    </sheetView>
  </sheetViews>
  <sheetFormatPr defaultRowHeight="15" x14ac:dyDescent="0.25"/>
  <cols>
    <col min="1" max="1" width="39.42578125" bestFit="1" customWidth="1"/>
    <col min="2" max="2" width="11.5703125" style="1" bestFit="1" customWidth="1"/>
  </cols>
  <sheetData>
    <row r="1" spans="1:2" x14ac:dyDescent="0.25">
      <c r="A1" s="7" t="s">
        <v>81</v>
      </c>
    </row>
    <row r="2" spans="1:2" x14ac:dyDescent="0.25">
      <c r="A2" t="s">
        <v>15</v>
      </c>
    </row>
    <row r="3" spans="1:2" x14ac:dyDescent="0.25">
      <c r="A3" t="s">
        <v>82</v>
      </c>
      <c r="B3" s="1">
        <v>68.209999999999994</v>
      </c>
    </row>
    <row r="4" spans="1:2" x14ac:dyDescent="0.25">
      <c r="A4" t="s">
        <v>82</v>
      </c>
      <c r="B4" s="1">
        <v>3795.7</v>
      </c>
    </row>
    <row r="5" spans="1:2" x14ac:dyDescent="0.25">
      <c r="A5" t="s">
        <v>85</v>
      </c>
      <c r="B5" s="1">
        <v>467.64</v>
      </c>
    </row>
    <row r="8" spans="1:2" x14ac:dyDescent="0.25">
      <c r="A8" s="7" t="s">
        <v>103</v>
      </c>
    </row>
    <row r="9" spans="1:2" x14ac:dyDescent="0.25">
      <c r="A9" t="s">
        <v>101</v>
      </c>
      <c r="B9" s="1">
        <v>42708.76</v>
      </c>
    </row>
    <row r="10" spans="1:2" x14ac:dyDescent="0.25">
      <c r="A10" t="s">
        <v>102</v>
      </c>
      <c r="B10" s="1">
        <v>45224.26</v>
      </c>
    </row>
    <row r="11" spans="1:2" x14ac:dyDescent="0.25">
      <c r="A11" t="s">
        <v>95</v>
      </c>
      <c r="B11" s="1">
        <v>3530.73</v>
      </c>
    </row>
    <row r="12" spans="1:2" x14ac:dyDescent="0.25">
      <c r="A12" t="s">
        <v>89</v>
      </c>
      <c r="B12" s="1">
        <v>2803.86</v>
      </c>
    </row>
    <row r="13" spans="1:2" x14ac:dyDescent="0.25">
      <c r="A13" t="s">
        <v>104</v>
      </c>
      <c r="B13" s="1">
        <v>655.73</v>
      </c>
    </row>
    <row r="14" spans="1:2" x14ac:dyDescent="0.25">
      <c r="A14" t="s">
        <v>105</v>
      </c>
      <c r="B14" s="1">
        <v>1851.4</v>
      </c>
    </row>
    <row r="16" spans="1:2" x14ac:dyDescent="0.25">
      <c r="A16" s="7" t="s">
        <v>87</v>
      </c>
    </row>
    <row r="17" spans="1:2" x14ac:dyDescent="0.25">
      <c r="A17" t="s">
        <v>83</v>
      </c>
      <c r="B17" s="1">
        <v>12000</v>
      </c>
    </row>
    <row r="18" spans="1:2" x14ac:dyDescent="0.25">
      <c r="A18" t="s">
        <v>84</v>
      </c>
      <c r="B18" s="1">
        <v>2500</v>
      </c>
    </row>
    <row r="20" spans="1:2" x14ac:dyDescent="0.25">
      <c r="A20" s="7" t="s">
        <v>86</v>
      </c>
    </row>
    <row r="21" spans="1:2" x14ac:dyDescent="0.25">
      <c r="A21" t="s">
        <v>88</v>
      </c>
      <c r="B21" s="1">
        <v>90</v>
      </c>
    </row>
    <row r="22" spans="1:2" x14ac:dyDescent="0.25">
      <c r="A22" t="s">
        <v>89</v>
      </c>
      <c r="B22" s="1">
        <v>5.58</v>
      </c>
    </row>
    <row r="23" spans="1:2" x14ac:dyDescent="0.25">
      <c r="A23" t="s">
        <v>90</v>
      </c>
      <c r="B23" s="1">
        <v>1.31</v>
      </c>
    </row>
    <row r="25" spans="1:2" x14ac:dyDescent="0.25">
      <c r="A25" s="7" t="s">
        <v>94</v>
      </c>
    </row>
    <row r="26" spans="1:2" x14ac:dyDescent="0.25">
      <c r="A26" t="s">
        <v>88</v>
      </c>
      <c r="B26" s="1">
        <v>3745.86</v>
      </c>
    </row>
    <row r="27" spans="1:2" x14ac:dyDescent="0.25">
      <c r="A27" t="s">
        <v>95</v>
      </c>
      <c r="B27" s="1">
        <v>392.65</v>
      </c>
    </row>
    <row r="28" spans="1:2" x14ac:dyDescent="0.25">
      <c r="A28" t="s">
        <v>96</v>
      </c>
      <c r="B28" s="1">
        <v>232.24</v>
      </c>
    </row>
    <row r="29" spans="1:2" x14ac:dyDescent="0.25">
      <c r="A29" t="s">
        <v>97</v>
      </c>
      <c r="B29" s="1">
        <v>54.31</v>
      </c>
    </row>
    <row r="30" spans="1:2" x14ac:dyDescent="0.25">
      <c r="A30" t="s">
        <v>98</v>
      </c>
      <c r="B30" s="1">
        <v>193.39</v>
      </c>
    </row>
    <row r="32" spans="1:2" x14ac:dyDescent="0.25">
      <c r="A32" s="7" t="s">
        <v>100</v>
      </c>
    </row>
    <row r="33" spans="1:2" x14ac:dyDescent="0.25">
      <c r="A33" t="s">
        <v>101</v>
      </c>
      <c r="B33" s="1">
        <v>3075.47</v>
      </c>
    </row>
    <row r="34" spans="1:2" x14ac:dyDescent="0.25">
      <c r="A34" t="s">
        <v>102</v>
      </c>
      <c r="B34" s="1">
        <v>3271.78</v>
      </c>
    </row>
    <row r="35" spans="1:2" x14ac:dyDescent="0.25">
      <c r="A35" t="s">
        <v>95</v>
      </c>
      <c r="B35" s="1">
        <v>162.57</v>
      </c>
    </row>
    <row r="36" spans="1:2" x14ac:dyDescent="0.25">
      <c r="A36" t="s">
        <v>96</v>
      </c>
      <c r="B36" s="1">
        <v>202.85</v>
      </c>
    </row>
    <row r="37" spans="1:2" x14ac:dyDescent="0.25">
      <c r="A37" t="s">
        <v>97</v>
      </c>
      <c r="B37" s="1">
        <v>47.44</v>
      </c>
    </row>
    <row r="38" spans="1:2" x14ac:dyDescent="0.25">
      <c r="A38" t="s">
        <v>98</v>
      </c>
      <c r="B38" s="1">
        <v>230.85</v>
      </c>
    </row>
    <row r="42" spans="1:2" x14ac:dyDescent="0.25">
      <c r="A42" s="7" t="s">
        <v>106</v>
      </c>
    </row>
    <row r="43" spans="1:2" x14ac:dyDescent="0.25">
      <c r="A43" t="s">
        <v>80</v>
      </c>
      <c r="B43" s="1">
        <v>1060</v>
      </c>
    </row>
    <row r="44" spans="1:2" x14ac:dyDescent="0.25">
      <c r="A44" t="s">
        <v>73</v>
      </c>
      <c r="B44" s="1">
        <v>5746.32</v>
      </c>
    </row>
    <row r="45" spans="1:2" x14ac:dyDescent="0.25">
      <c r="A45" t="s">
        <v>107</v>
      </c>
      <c r="B45" s="1">
        <v>387</v>
      </c>
    </row>
    <row r="46" spans="1:2" x14ac:dyDescent="0.25">
      <c r="A46" t="s">
        <v>74</v>
      </c>
      <c r="B46" s="1">
        <v>6736.66</v>
      </c>
    </row>
    <row r="47" spans="1:2" x14ac:dyDescent="0.25">
      <c r="A47" t="s">
        <v>72</v>
      </c>
      <c r="B47" s="1">
        <v>11486.41</v>
      </c>
    </row>
    <row r="48" spans="1:2" x14ac:dyDescent="0.25">
      <c r="A48" t="s">
        <v>79</v>
      </c>
      <c r="B48" s="1">
        <v>121.52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Info</vt:lpstr>
      <vt:lpstr>Sheet2</vt:lpstr>
      <vt:lpstr>2019 Tax Forms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2020-06-02T21:56:36Z</dcterms:created>
  <dcterms:modified xsi:type="dcterms:W3CDTF">2020-07-11T16:55:27Z</dcterms:modified>
</cp:coreProperties>
</file>