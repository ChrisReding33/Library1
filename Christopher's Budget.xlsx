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OneDrive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/>
  <c r="I2" i="1"/>
  <c r="D15" i="1"/>
  <c r="E14" i="1"/>
  <c r="E13" i="1"/>
  <c r="E12" i="1"/>
  <c r="E19" i="1"/>
  <c r="E18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<sst xmlns="http://schemas.openxmlformats.org/spreadsheetml/2006/main" count="25" uniqueCount="24">
  <si>
    <t>Furniture Source</t>
  </si>
  <si>
    <t>Listerhill (car)</t>
  </si>
  <si>
    <t>Listerhill (credit card)</t>
  </si>
  <si>
    <t>Belk</t>
  </si>
  <si>
    <t>Limit</t>
  </si>
  <si>
    <t>balance</t>
  </si>
  <si>
    <t>Academy</t>
  </si>
  <si>
    <t>Tithe</t>
  </si>
  <si>
    <t>Gas</t>
  </si>
  <si>
    <t>Groceries</t>
  </si>
  <si>
    <t>Insurance</t>
  </si>
  <si>
    <t>Car Insurance</t>
  </si>
  <si>
    <t>Other</t>
  </si>
  <si>
    <t>Savings (joint)</t>
  </si>
  <si>
    <t xml:space="preserve">Savings  </t>
  </si>
  <si>
    <t>Monthly</t>
  </si>
  <si>
    <t>Weekly</t>
  </si>
  <si>
    <t>Income</t>
  </si>
  <si>
    <t>28th</t>
  </si>
  <si>
    <t>12th</t>
  </si>
  <si>
    <t>18th</t>
  </si>
  <si>
    <t>Spotify</t>
  </si>
  <si>
    <t>Peacock</t>
  </si>
  <si>
    <t>Christopher's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</si>
</sst>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244" zoomScaleNormal="244" workbookViewId="0">
      <selection activeCell="A2" sqref="A2"/>
    </sheetView>
  </sheetViews>
  <sheetFormatPr defaultRowHeight="15" x14ac:dyDescent="0.25"/>
  <cols>
    <col min="4" max="4" width="10.5703125" style="1" bestFit="1" customWidth="1"/>
    <col min="5" max="6" width="9.140625" style="1"/>
  </cols>
  <sheetData>
    <row r="1" spans="1:9" x14ac:dyDescent="0.25">
      <c r="A1" t="s">
        <v>23</v>
      </c>
      <c r="D1" s="1" t="s">
        <v>15</v>
      </c>
      <c r="E1" s="1" t="s">
        <v>16</v>
      </c>
      <c r="G1" s="1" t="s">
        <v>4</v>
      </c>
      <c r="H1" s="1" t="s">
        <v>5</v>
      </c>
      <c r="I1" s="1" t="s">
        <v>17</v>
      </c>
    </row>
    <row r="2" spans="1:9" x14ac:dyDescent="0.25">
      <c r="A2" t="s">
        <v>19</v>
      </c>
      <c r="B2" t="s">
        <v>0</v>
      </c>
      <c r="D2" s="1">
        <v>140</v>
      </c>
      <c r="E2" s="1">
        <f>SUM(D2*0.230769230769231)</f>
        <v>32.307692307692342</v>
      </c>
      <c r="G2" s="1"/>
      <c r="H2" s="1"/>
      <c r="I2">
        <f>SUM(400*52/12)</f>
        <v>1733.3333333333333</v>
      </c>
    </row>
    <row r="3" spans="1:9" x14ac:dyDescent="0.25">
      <c r="A3" t="s">
        <v>18</v>
      </c>
      <c r="B3" t="s">
        <v>1</v>
      </c>
      <c r="D3" s="1">
        <v>230</v>
      </c>
      <c r="E3" s="1">
        <f t="shared" ref="E3:E14" si="0">SUM(D3*0.230769230769231)</f>
        <v>53.07692307692313</v>
      </c>
      <c r="G3" s="1"/>
      <c r="H3" s="1"/>
    </row>
    <row r="4" spans="1:9" x14ac:dyDescent="0.25">
      <c r="B4" t="s">
        <v>2</v>
      </c>
      <c r="D4" s="1">
        <v>200</v>
      </c>
      <c r="E4" s="1">
        <f t="shared" si="0"/>
        <v>46.153846153846203</v>
      </c>
      <c r="G4" s="1">
        <v>500</v>
      </c>
      <c r="H4" s="1">
        <v>450</v>
      </c>
    </row>
    <row r="5" spans="1:9" x14ac:dyDescent="0.25">
      <c r="A5" t="s">
        <v>20</v>
      </c>
      <c r="B5" t="s">
        <v>3</v>
      </c>
      <c r="D5" s="1">
        <v>50</v>
      </c>
      <c r="E5" s="1">
        <f t="shared" si="0"/>
        <v>11.538461538461551</v>
      </c>
      <c r="G5" s="1">
        <v>300</v>
      </c>
      <c r="H5" s="1">
        <v>50</v>
      </c>
    </row>
    <row r="6" spans="1:9" x14ac:dyDescent="0.25">
      <c r="A6" t="s">
        <v>20</v>
      </c>
      <c r="B6" t="s">
        <v>6</v>
      </c>
      <c r="D6" s="1">
        <v>40</v>
      </c>
      <c r="E6" s="1">
        <f t="shared" si="0"/>
        <v>9.2307692307692406</v>
      </c>
      <c r="G6" s="1">
        <v>100</v>
      </c>
      <c r="H6" s="1">
        <v>35</v>
      </c>
    </row>
    <row r="7" spans="1:9" x14ac:dyDescent="0.25">
      <c r="B7" t="s">
        <v>7</v>
      </c>
      <c r="D7" s="1">
        <v>120</v>
      </c>
      <c r="E7" s="1">
        <f t="shared" si="0"/>
        <v>27.692307692307722</v>
      </c>
    </row>
    <row r="8" spans="1:9" x14ac:dyDescent="0.25">
      <c r="B8" t="s">
        <v>8</v>
      </c>
      <c r="D8" s="1">
        <v>140</v>
      </c>
      <c r="E8" s="1">
        <f t="shared" si="0"/>
        <v>32.307692307692342</v>
      </c>
    </row>
    <row r="9" spans="1:9" x14ac:dyDescent="0.25">
      <c r="B9" t="s">
        <v>9</v>
      </c>
      <c r="D9" s="1">
        <v>100</v>
      </c>
      <c r="E9" s="1">
        <f t="shared" si="0"/>
        <v>23.076923076923102</v>
      </c>
    </row>
    <row r="10" spans="1:9" x14ac:dyDescent="0.25">
      <c r="B10" t="s">
        <v>22</v>
      </c>
      <c r="D10" s="1">
        <v>5</v>
      </c>
      <c r="E10" s="1">
        <f t="shared" si="0"/>
        <v>1.1538461538461551</v>
      </c>
    </row>
    <row r="11" spans="1:9" x14ac:dyDescent="0.25">
      <c r="B11" t="s">
        <v>21</v>
      </c>
      <c r="D11" s="1">
        <v>11.99</v>
      </c>
      <c r="E11" s="1">
        <f t="shared" si="0"/>
        <v>2.7669230769230797</v>
      </c>
    </row>
    <row r="12" spans="1:9" x14ac:dyDescent="0.25">
      <c r="B12" t="s">
        <v>12</v>
      </c>
      <c r="D12" s="1">
        <v>200</v>
      </c>
      <c r="E12" s="1">
        <f t="shared" si="0"/>
        <v>46.153846153846203</v>
      </c>
    </row>
    <row r="13" spans="1:9" x14ac:dyDescent="0.25">
      <c r="B13" t="s">
        <v>13</v>
      </c>
      <c r="D13" s="1">
        <v>200</v>
      </c>
      <c r="E13" s="1">
        <f t="shared" si="0"/>
        <v>46.153846153846203</v>
      </c>
    </row>
    <row r="14" spans="1:9" x14ac:dyDescent="0.25">
      <c r="B14" t="s">
        <v>14</v>
      </c>
      <c r="D14" s="1">
        <v>100</v>
      </c>
      <c r="E14" s="1">
        <f t="shared" si="0"/>
        <v>23.076923076923102</v>
      </c>
    </row>
    <row r="15" spans="1:9" x14ac:dyDescent="0.25">
      <c r="D15" s="1">
        <f>SUM(D2:D14)</f>
        <v>1536.99</v>
      </c>
    </row>
    <row r="18" spans="2:5" x14ac:dyDescent="0.25">
      <c r="B18" t="s">
        <v>10</v>
      </c>
      <c r="D18" s="1">
        <v>175</v>
      </c>
      <c r="E18" s="1">
        <f>SUM(D18*0.230769230769231)</f>
        <v>40.384615384615422</v>
      </c>
    </row>
    <row r="19" spans="2:5" x14ac:dyDescent="0.25">
      <c r="B19" t="s">
        <v>11</v>
      </c>
      <c r="D19" s="1">
        <v>200</v>
      </c>
      <c r="E19" s="1">
        <f>SUM(D19*0.230769230769231)</f>
        <v>46.153846153846203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2022-11-18T03:50:14Z</dcterms:created>
  <dcterms:modified xsi:type="dcterms:W3CDTF">2022-11-18T04:13:18Z</dcterms:modified>
</cp:coreProperties>
</file>